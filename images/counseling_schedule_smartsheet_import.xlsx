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ff8af1fc0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down Values" sheetId="1" r:id="R729eaca50eaf4435"/>
    <x:sheet xmlns:r="http://schemas.openxmlformats.org/officeDocument/2006/relationships" name="Counseling Schedule Requests" sheetId="2" r:id="Rcecf7cfb7fe14a08"/>
    <x:sheet xmlns:r="http://schemas.openxmlformats.org/officeDocument/2006/relationships" name="Counselor Schedule Details" sheetId="3" r:id="Rc9df49d07661494a"/>
    <x:sheet xmlns:r="http://schemas.openxmlformats.org/officeDocument/2006/relationships" name="Approval and Revision Tracker" sheetId="4" r:id="Rf7745947e0e940eb"/>
    <x:sheet xmlns:r="http://schemas.openxmlformats.org/officeDocument/2006/relationships" name="Document Generation Archive" sheetId="5" r:id="Rc748537f2cf545d2"/>
    <x:sheet xmlns:r="http://schemas.openxmlformats.org/officeDocument/2006/relationships" name="Dashboard Metrics" sheetId="6" r:id="Re55812f4d9ac4063"/>
    <x:sheet xmlns:r="http://schemas.openxmlformats.org/officeDocument/2006/relationships" name="Reports to Create" sheetId="7" r:id="Rbb10f4f306cf4cee"/>
    <x:sheet xmlns:r="http://schemas.openxmlformats.org/officeDocument/2006/relationships" name="Read Me" sheetId="8" r:id="R8812c0555202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1214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ca96ad7ba4a9e" /><Relationship Type="http://schemas.openxmlformats.org/officeDocument/2006/relationships/theme" Target="/xl/theme/theme1.xml" Id="R82e5f408e9d3479a" /><Relationship Type="http://schemas.microsoft.com/office/2022/11/relationships/FeaturePropertyBag" Target="/xl/featurePropertyBag/featurePropertyBag.xml" Id="Rd3e51e295a174ee9" /><Relationship Type="http://schemas.openxmlformats.org/officeDocument/2006/relationships/sharedStrings" Target="/xl/sharedStrings.xml" Id="R0ef798c21cc549ad" /><Relationship Type="http://schemas.openxmlformats.org/officeDocument/2006/relationships/worksheet" Target="/xl/worksheets/sheet1.xml" Id="R729eaca50eaf4435" /><Relationship Type="http://schemas.openxmlformats.org/officeDocument/2006/relationships/worksheet" Target="/xl/worksheets/sheet2.xml" Id="Rcecf7cfb7fe14a08" /><Relationship Type="http://schemas.openxmlformats.org/officeDocument/2006/relationships/worksheet" Target="/xl/worksheets/sheet3.xml" Id="Rc9df49d07661494a" /><Relationship Type="http://schemas.openxmlformats.org/officeDocument/2006/relationships/worksheet" Target="/xl/worksheets/sheet4.xml" Id="Rf7745947e0e940eb" /><Relationship Type="http://schemas.openxmlformats.org/officeDocument/2006/relationships/worksheet" Target="/xl/worksheets/sheet5.xml" Id="Rc748537f2cf545d2" /><Relationship Type="http://schemas.openxmlformats.org/officeDocument/2006/relationships/worksheet" Target="/xl/worksheets/sheet6.xml" Id="Re55812f4d9ac4063" /><Relationship Type="http://schemas.openxmlformats.org/officeDocument/2006/relationships/worksheet" Target="/xl/worksheets/sheet7.xml" Id="Rbb10f4f306cf4cee" /><Relationship Type="http://schemas.openxmlformats.org/officeDocument/2006/relationships/worksheet" Target="/xl/worksheets/sheet8.xml" Id="R8812c05552024c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nselingRequestsTable" displayName="CounselingRequestsTable" ref="A1:AC100" headerRowCount="1">
  <x:tableColumns count="29">
    <x:tableColumn id="1" name="Request ID"/>
    <x:tableColumn id="2" name="Counselor Name"/>
    <x:tableColumn id="3" name="Term"/>
    <x:tableColumn id="4" name="Counselor Email"/>
    <x:tableColumn id="5" name="G#"/>
    <x:tableColumn id="6" name="Position #"/>
    <x:tableColumn id="7" name="Employee Type"/>
    <x:tableColumn id="8" name="Department / Division"/>
    <x:tableColumn id="9" name="Formstack Submission ID"/>
    <x:tableColumn id="10" name="Submission Date"/>
    <x:tableColumn id="11" name="Availability Summary"/>
    <x:tableColumn id="12" name="Preferred Modality"/>
    <x:tableColumn id="13" name="Total Proposed Hours"/>
    <x:tableColumn id="14" name="FTE"/>
    <x:tableColumn id="15" name="Account / FOAP"/>
    <x:tableColumn id="16" name="Joseph FOAP Status"/>
    <x:tableColumn id="17" name="Counselor Approval Status"/>
    <x:tableColumn id="18" name="Rubie Review Status"/>
    <x:tableColumn id="19" name="Dean Signature Status"/>
    <x:tableColumn id="20" name="Revision Number"/>
    <x:tableColumn id="21" name="Current Owner"/>
    <x:tableColumn id="22" name="Current Step"/>
    <x:tableColumn id="23" name="Next Action"/>
    <x:tableColumn id="24" name="Due Date"/>
    <x:tableColumn id="25" name="Priority"/>
    <x:tableColumn id="26" name="Internal Notes"/>
    <x:tableColumn id="27" name="Final Status"/>
    <x:tableColumn id="28" name="Current PDF Link"/>
    <x:tableColumn id="29" name="SharePoint Folder Link"/>
  </x:tableColumns>
  <x:tableStyleInfo name="TableStyleMedium2" showRowStripes="1"/>
</x:table>
</file>

<file path=xl/tables/table2.xml><?xml version="1.0" encoding="utf-8"?>
<x:table xmlns:x="http://schemas.openxmlformats.org/spreadsheetml/2006/main" id="2" name="ScheduleDetailsTable" displayName="ScheduleDetailsTable" ref="A1:N100" headerRowCount="1">
  <x:tableColumns count="14">
    <x:tableColumn id="1" name="Schedule Detail ID"/>
    <x:tableColumn id="2" name="Request ID"/>
    <x:tableColumn id="3" name="Counselor Name"/>
    <x:tableColumn id="4" name="Term"/>
    <x:tableColumn id="5" name="Day"/>
    <x:tableColumn id="6" name="Start Time"/>
    <x:tableColumn id="7" name="End Time"/>
    <x:tableColumn id="8" name="Assignment"/>
    <x:tableColumn id="9" name="Hours"/>
    <x:tableColumn id="10" name="Modality"/>
    <x:tableColumn id="11" name="Location"/>
    <x:tableColumn id="12" name="Notes"/>
    <x:tableColumn id="13" name="Active on Final Schedule"/>
    <x:tableColumn id="14" name="Revision Number"/>
  </x:tableColumns>
  <x:tableStyleInfo name="TableStyleMedium2" showRowStripes="1"/>
</x:table>
</file>

<file path=xl/tables/table3.xml><?xml version="1.0" encoding="utf-8"?>
<x:table xmlns:x="http://schemas.openxmlformats.org/spreadsheetml/2006/main" id="3" name="ApprovalTrackerTable" displayName="ApprovalTrackerTable" ref="A1:P100" headerRowCount="1">
  <x:tableColumns count="16">
    <x:tableColumn id="1" name="Approval ID"/>
    <x:tableColumn id="2" name="Request ID"/>
    <x:tableColumn id="3" name="Counselor Name"/>
    <x:tableColumn id="4" name="Term"/>
    <x:tableColumn id="5" name="Revision Number"/>
    <x:tableColumn id="6" name="Approver Role"/>
    <x:tableColumn id="7" name="Approver Name"/>
    <x:tableColumn id="8" name="Approver Email"/>
    <x:tableColumn id="9" name="Approval Step"/>
    <x:tableColumn id="10" name="Approval Status"/>
    <x:tableColumn id="11" name="Date Sent"/>
    <x:tableColumn id="12" name="Date Completed"/>
    <x:tableColumn id="13" name="Comments / Revision Notes"/>
    <x:tableColumn id="14" name="Requires Re-Approval"/>
    <x:tableColumn id="15" name="Adobe Sign Agreement Link"/>
    <x:tableColumn id="16" name="Attachment / PDF Link"/>
  </x:tableColumns>
  <x:tableStyleInfo name="TableStyleMedium2" showRowStripes="1"/>
</x:table>
</file>

<file path=xl/tables/table4.xml><?xml version="1.0" encoding="utf-8"?>
<x:table xmlns:x="http://schemas.openxmlformats.org/spreadsheetml/2006/main" id="4" name="DocumentArchiveTable" displayName="DocumentArchiveTable" ref="A1:Q100" headerRowCount="1">
  <x:tableColumns count="17">
    <x:tableColumn id="1" name="Document ID"/>
    <x:tableColumn id="2" name="Request ID"/>
    <x:tableColumn id="3" name="Counselor Name"/>
    <x:tableColumn id="4" name="Term"/>
    <x:tableColumn id="5" name="Revision Number"/>
    <x:tableColumn id="6" name="Document Type"/>
    <x:tableColumn id="7" name="Document Status"/>
    <x:tableColumn id="8" name="Generated Date"/>
    <x:tableColumn id="9" name="Generated By"/>
    <x:tableColumn id="10" name="Current PDF Link"/>
    <x:tableColumn id="11" name="Adobe Sign Agreement Link"/>
    <x:tableColumn id="12" name="Signed PDF Link"/>
    <x:tableColumn id="13" name="SharePoint Final Link"/>
    <x:tableColumn id="14" name="File Name"/>
    <x:tableColumn id="15" name="Sent to VPSS"/>
    <x:tableColumn id="16" name="VPSS Submission Date"/>
    <x:tableColumn id="17" name="Archive Notes"/>
  </x:tableColumns>
  <x:tableStyleInfo name="TableStyleMedium2" showRowStripes="1"/>
</x:table>
</file>

<file path=xl/tables/table5.xml><?xml version="1.0" encoding="utf-8"?>
<x:table xmlns:x="http://schemas.openxmlformats.org/spreadsheetml/2006/main" id="5" name="DashboardMetricsTable" displayName="DashboardMetricsTable" ref="A1:D100" headerRowCount="1">
  <x:tableColumns count="4">
    <x:tableColumn id="1" name="Metric Name"/>
    <x:tableColumn id="2" name="Count / Value"/>
    <x:tableColumn id="3" name="Notes"/>
    <x:tableColumn id="4" name="Last Updated"/>
  </x:tableColumns>
  <x:tableStyleInfo name="TableStyleMedium2" showRowStripes="1"/>
</x:table>
</file>

<file path=xl/tables/table6.xml><?xml version="1.0" encoding="utf-8"?>
<x:table xmlns:x="http://schemas.openxmlformats.org/spreadsheetml/2006/main" id="6" name="ReportsToCreateTable" displayName="ReportsToCreateTable" ref="A1:D100" headerRowCount="1">
  <x:tableColumns count="4">
    <x:tableColumn id="1" name="Report Name"/>
    <x:tableColumn id="2" name="Purpose"/>
    <x:tableColumn id="3" name="Filter Logic"/>
    <x:tableColumn id="4" name="Recommended Colum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c4ece978c44f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47ee7a668b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42d17006794a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a919ae5c5342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c03ee9981647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3783d7e99d475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5" t="str">
        <x:v>Current Step</x:v>
      </x:c>
      <x:c r="B1" s="5" t="str">
        <x:v>Final Status</x:v>
      </x:c>
      <x:c r="C1" s="5" t="str">
        <x:v>Employee Type</x:v>
      </x:c>
      <x:c r="D1" s="5" t="str">
        <x:v>Preferred Modality</x:v>
      </x:c>
      <x:c r="E1" s="5" t="str">
        <x:v>Priority</x:v>
      </x:c>
      <x:c r="F1" s="5" t="str">
        <x:v>Day</x:v>
      </x:c>
      <x:c r="G1" s="5" t="str">
        <x:v>Approver Role</x:v>
      </x:c>
      <x:c r="H1" s="5" t="str">
        <x:v>Approval Step</x:v>
      </x:c>
      <x:c r="I1" s="5" t="str">
        <x:v>Approval Status</x:v>
      </x:c>
      <x:c r="J1" s="5" t="str">
        <x:v>Document Type</x:v>
      </x:c>
      <x:c r="K1" s="5" t="str">
        <x:v>Document Status</x:v>
      </x:c>
    </x:row>
    <x:row r="2">
      <x:c r="A2" t="str">
        <x:v>New Submission</x:v>
      </x:c>
      <x:c r="B2" t="str">
        <x:v>Active</x:v>
      </x:c>
      <x:c r="C2" t="str">
        <x:v>Adjunct</x:v>
      </x:c>
      <x:c r="D2" t="str">
        <x:v>In-Person</x:v>
      </x:c>
      <x:c r="E2" t="str">
        <x:v>Normal</x:v>
      </x:c>
      <x:c r="F2" t="str">
        <x:v>Monday</x:v>
      </x:c>
      <x:c r="G2" t="str">
        <x:v>Judith</x:v>
      </x:c>
      <x:c r="H2" t="str">
        <x:v>Schedule Draft Review</x:v>
      </x:c>
      <x:c r="I2" t="str">
        <x:v>Not Sent</x:v>
      </x:c>
      <x:c r="J2" t="str">
        <x:v>Assignment Letter</x:v>
      </x:c>
      <x:c r="K2" t="str">
        <x:v>Draft</x:v>
      </x:c>
    </x:row>
    <x:row r="3">
      <x:c r="A3" t="str">
        <x:v>Judith Drafting</x:v>
      </x:c>
      <x:c r="B3" t="str">
        <x:v>Finalized</x:v>
      </x:c>
      <x:c r="C3" t="str">
        <x:v>Full-Time</x:v>
      </x:c>
      <x:c r="D3" t="str">
        <x:v>Online</x:v>
      </x:c>
      <x:c r="E3" t="str">
        <x:v>Urgent</x:v>
      </x:c>
      <x:c r="F3" t="str">
        <x:v>Tuesday</x:v>
      </x:c>
      <x:c r="G3" t="str">
        <x:v>Joseph</x:v>
      </x:c>
      <x:c r="H3" t="str">
        <x:v>FOAP Approval</x:v>
      </x:c>
      <x:c r="I3" t="str">
        <x:v>Pending</x:v>
      </x:c>
      <x:c r="J3" t="str">
        <x:v>Payroll Setup</x:v>
      </x:c>
      <x:c r="K3" t="str">
        <x:v>Generated</x:v>
      </x:c>
    </x:row>
    <x:row r="4">
      <x:c r="A4" t="str">
        <x:v>Ready for FOAP</x:v>
      </x:c>
      <x:c r="B4" t="str">
        <x:v>Sent to VPSS</x:v>
      </x:c>
      <x:c r="C4" t="str">
        <x:v>Other</x:v>
      </x:c>
      <x:c r="D4" t="str">
        <x:v>Hybrid</x:v>
      </x:c>
      <x:c r="F4" t="str">
        <x:v>Wednesday</x:v>
      </x:c>
      <x:c r="G4" t="str">
        <x:v>Counselor</x:v>
      </x:c>
      <x:c r="H4" t="str">
        <x:v>Judith Final Review</x:v>
      </x:c>
      <x:c r="I4" t="str">
        <x:v>Approved</x:v>
      </x:c>
      <x:c r="J4" t="str">
        <x:v>Combined Packet</x:v>
      </x:c>
      <x:c r="K4" t="str">
        <x:v>Sent for Signature</x:v>
      </x:c>
    </x:row>
    <x:row r="5">
      <x:c r="A5" t="str">
        <x:v>FOAP Pending</x:v>
      </x:c>
      <x:c r="B5" t="str">
        <x:v>Canceled</x:v>
      </x:c>
      <x:c r="D5" t="str">
        <x:v>TBD</x:v>
      </x:c>
      <x:c r="F5" t="str">
        <x:v>Thursday</x:v>
      </x:c>
      <x:c r="G5" t="str">
        <x:v>Rubie</x:v>
      </x:c>
      <x:c r="H5" t="str">
        <x:v>Counselor Approval</x:v>
      </x:c>
      <x:c r="I5" t="str">
        <x:v>Revision Requested</x:v>
      </x:c>
      <x:c r="K5" t="str">
        <x:v>Signed</x:v>
      </x:c>
    </x:row>
    <x:row r="6">
      <x:c r="A6" t="str">
        <x:v>FOAP Approved</x:v>
      </x:c>
      <x:c r="D6" t="str">
        <x:v>Other</x:v>
      </x:c>
      <x:c r="F6" t="str">
        <x:v>Friday</x:v>
      </x:c>
      <x:c r="G6" t="str">
        <x:v>Ellen</x:v>
      </x:c>
      <x:c r="H6" t="str">
        <x:v>DA Review</x:v>
      </x:c>
      <x:c r="I6" t="str">
        <x:v>Needs Correction</x:v>
      </x:c>
      <x:c r="K6" t="str">
        <x:v>Archived</x:v>
      </x:c>
    </x:row>
    <x:row r="7">
      <x:c r="A7" t="str">
        <x:v>Judith Final Review</x:v>
      </x:c>
      <x:c r="F7" t="str">
        <x:v>Saturday</x:v>
      </x:c>
      <x:c r="H7" t="str">
        <x:v>Dean Signature</x:v>
      </x:c>
      <x:c r="I7" t="str">
        <x:v>Signed</x:v>
      </x:c>
      <x:c r="K7" t="str">
        <x:v>Sent to VPSS</x:v>
      </x:c>
    </x:row>
    <x:row r="8">
      <x:c r="A8" t="str">
        <x:v>Counselor Review</x:v>
      </x:c>
      <x:c r="I8" t="str">
        <x:v>Canceled</x:v>
      </x:c>
      <x:c r="K8" t="str">
        <x:v>Replaced by New Revision</x:v>
      </x:c>
    </x:row>
    <x:row r="9">
      <x:c r="A9" t="str">
        <x:v>Revision Requested</x:v>
      </x:c>
    </x:row>
    <x:row r="10">
      <x:c r="A10" t="str">
        <x:v>Rubie Review</x:v>
      </x:c>
    </x:row>
    <x:row r="11">
      <x:c r="A11" t="str">
        <x:v>Dean Signature Pending</x:v>
      </x:c>
    </x:row>
    <x:row r="12">
      <x:c r="A12" t="str">
        <x:v>Finalized</x:v>
      </x:c>
    </x:row>
    <x:row r="13">
      <x:c r="A13" t="str">
        <x:v>Sent to VPSS</x:v>
      </x:c>
    </x:row>
    <x:row r="14">
      <x:c r="A14" t="str">
        <x:v>Canceled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8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34" hidden="0" customWidth="1"/>
    <x:col min="12" max="12" width="18" hidden="0" customWidth="1"/>
    <x:col min="13" max="13" width="18" hidden="0" customWidth="1"/>
    <x:col min="14" max="14" width="1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4" hidden="0" customWidth="1"/>
    <x:col min="22" max="22" width="18" hidden="0" customWidth="1"/>
    <x:col min="23" max="23" width="34" hidden="0" customWidth="1"/>
    <x:col min="24" max="24" width="14" hidden="0" customWidth="1"/>
    <x:col min="25" max="25" width="18" hidden="0" customWidth="1"/>
    <x:col min="26" max="26" width="34" hidden="0" customWidth="1"/>
    <x:col min="27" max="27" width="18" hidden="0" customWidth="1"/>
    <x:col min="28" max="28" width="28" hidden="0" customWidth="1"/>
    <x:col min="29" max="29" width="28" hidden="0" customWidth="1"/>
  </x:cols>
  <x:sheetData>
    <x:row r="1" ht="28" customHeight="1">
      <x:c r="A1" s="10" t="str">
        <x:v>Request ID</x:v>
      </x:c>
      <x:c r="B1" s="10" t="str">
        <x:v>Counselor Name</x:v>
      </x:c>
      <x:c r="C1" s="10" t="str">
        <x:v>Term</x:v>
      </x:c>
      <x:c r="D1" s="10" t="str">
        <x:v>Counselor Email</x:v>
      </x:c>
      <x:c r="E1" s="10" t="str">
        <x:v>G#</x:v>
      </x:c>
      <x:c r="F1" s="10" t="str">
        <x:v>Position #</x:v>
      </x:c>
      <x:c r="G1" s="10" t="str">
        <x:v>Employee Type</x:v>
      </x:c>
      <x:c r="H1" s="10" t="str">
        <x:v>Department / Division</x:v>
      </x:c>
      <x:c r="I1" s="10" t="str">
        <x:v>Formstack Submission ID</x:v>
      </x:c>
      <x:c r="J1" s="10" t="str">
        <x:v>Submission Date</x:v>
      </x:c>
      <x:c r="K1" s="10" t="str">
        <x:v>Availability Summary</x:v>
      </x:c>
      <x:c r="L1" s="10" t="str">
        <x:v>Preferred Modality</x:v>
      </x:c>
      <x:c r="M1" s="10" t="str">
        <x:v>Total Proposed Hours</x:v>
      </x:c>
      <x:c r="N1" s="10" t="str">
        <x:v>FTE</x:v>
      </x:c>
      <x:c r="O1" s="10" t="str">
        <x:v>Account / FOAP</x:v>
      </x:c>
      <x:c r="P1" s="10" t="str">
        <x:v>Joseph FOAP Status</x:v>
      </x:c>
      <x:c r="Q1" s="10" t="str">
        <x:v>Counselor Approval Status</x:v>
      </x:c>
      <x:c r="R1" s="10" t="str">
        <x:v>Rubie Review Status</x:v>
      </x:c>
      <x:c r="S1" s="10" t="str">
        <x:v>Dean Signature Status</x:v>
      </x:c>
      <x:c r="T1" s="10" t="str">
        <x:v>Revision Number</x:v>
      </x:c>
      <x:c r="U1" s="10" t="str">
        <x:v>Current Owner</x:v>
      </x:c>
      <x:c r="V1" s="10" t="str">
        <x:v>Current Step</x:v>
      </x:c>
      <x:c r="W1" s="10" t="str">
        <x:v>Next Action</x:v>
      </x:c>
      <x:c r="X1" s="10" t="str">
        <x:v>Due Date</x:v>
      </x:c>
      <x:c r="Y1" s="10" t="str">
        <x:v>Priority</x:v>
      </x:c>
      <x:c r="Z1" s="10" t="str">
        <x:v>Internal Notes</x:v>
      </x:c>
      <x:c r="AA1" s="10" t="str">
        <x:v>Final Status</x:v>
      </x:c>
      <x:c r="AB1" s="10" t="str">
        <x:v>Current PDF Link</x:v>
      </x:c>
      <x:c r="AC1" s="10" t="str">
        <x:v>SharePoint Folder Link</x:v>
      </x:c>
    </x:row>
    <x:row r="2">
      <x:c r="A2" s="14" t="str">
        <x:v>REQ-0001</x:v>
      </x:c>
      <x:c r="B2" s="14" t="str">
        <x:v>Sample Counselor</x:v>
      </x:c>
      <x:c r="C2" s="14" t="str">
        <x:v>Fall 2026</x:v>
      </x:c>
      <x:c r="D2" s="14" t="str">
        <x:v>counselor@example.edu</x:v>
      </x:c>
      <x:c r="E2" s="14" t="str">
        <x:v>G00000000</x:v>
      </x:c>
      <x:c r="F2" s="14" t="str">
        <x:v>POS-0000</x:v>
      </x:c>
      <x:c r="G2" s="14" t="str">
        <x:v>Adjunct</x:v>
      </x:c>
      <x:c r="H2" s="14" t="str">
        <x:v>Student Services/Counseling</x:v>
      </x:c>
      <x:c r="I2" s="14" t="str">
        <x:v>FS-0001</x:v>
      </x:c>
      <x:c r="J2" s="22" t="n">
        <x:v>46162</x:v>
      </x:c>
      <x:c r="K2" s="14" t="str">
        <x:v>Available Mon/Wed mornings; prefers hybrid.</x:v>
      </x:c>
      <x:c r="L2" s="14" t="str">
        <x:v>Hybrid</x:v>
      </x:c>
      <x:c r="M2" s="14" t="n">
        <x:v>0</x:v>
      </x:c>
      <x:c r="N2" s="14" t="n">
        <x:v>0</x:v>
      </x:c>
      <x:c r="O2" s="14" t="str">
        <x:v>Pending</x:v>
      </x:c>
      <x:c r="P2" s="14" t="str">
        <x:v>Not Sent</x:v>
      </x:c>
      <x:c r="Q2" s="14" t="str">
        <x:v>Not Sent</x:v>
      </x:c>
      <x:c r="R2" s="14" t="str">
        <x:v>Not Started</x:v>
      </x:c>
      <x:c r="S2" s="14" t="str">
        <x:v>Not Sent</x:v>
      </x:c>
      <x:c r="T2" s="14" t="n">
        <x:v>0</x:v>
      </x:c>
      <x:c r="U2" s="14" t="str">
        <x:v>Judith</x:v>
      </x:c>
      <x:c r="V2" s="14" t="str">
        <x:v>New Submission</x:v>
      </x:c>
      <x:c r="W2" s="14" t="str">
        <x:v>Review availability and draft schedule</x:v>
      </x:c>
      <x:c r="X2" s="22"/>
      <x:c r="Y2" s="14" t="str">
        <x:v>Normal</x:v>
      </x:c>
      <x:c r="Z2" s="14" t="str">
        <x:v>Replace this sample row with live Formstack data.</x:v>
      </x:c>
      <x:c r="AA2" s="14" t="str">
        <x:v>Active</x:v>
      </x:c>
      <x:c r="AB2" s="14" t="str"/>
      <x:c r="AC2" s="14" t="str"/>
    </x:row>
    <x:row r="3">
      <x:c r="A3" s="14" t="str">
        <x:v>REQ-0002</x:v>
      </x:c>
      <x:c r="B3" s="14" t="str">
        <x:v>Sample Counselor 2</x:v>
      </x:c>
      <x:c r="C3" s="14" t="str">
        <x:v>Fall 2026</x:v>
      </x:c>
      <x:c r="D3" s="14" t="str">
        <x:v>counselor2@example.edu</x:v>
      </x:c>
      <x:c r="E3" s="14" t="str">
        <x:v>G00000001</x:v>
      </x:c>
      <x:c r="F3" s="14" t="str">
        <x:v>POS-0001</x:v>
      </x:c>
      <x:c r="G3" s="14" t="str">
        <x:v>Adjunct</x:v>
      </x:c>
      <x:c r="H3" s="14" t="str">
        <x:v>Student Services/Counseling</x:v>
      </x:c>
      <x:c r="I3" s="14" t="str">
        <x:v>FS-0002</x:v>
      </x:c>
      <x:c r="J3" s="22" t="n">
        <x:v>46162</x:v>
      </x:c>
      <x:c r="K3" s="14" t="str">
        <x:v>Available Tue/Thu afternoons.</x:v>
      </x:c>
      <x:c r="L3" s="14" t="str">
        <x:v>In-Person</x:v>
      </x:c>
      <x:c r="M3" s="14" t="n">
        <x:v>0</x:v>
      </x:c>
      <x:c r="N3" s="14" t="n">
        <x:v>0</x:v>
      </x:c>
      <x:c r="O3" s="14" t="str">
        <x:v>Pending</x:v>
      </x:c>
      <x:c r="P3" s="14" t="str">
        <x:v>Pending</x:v>
      </x:c>
      <x:c r="Q3" s="14" t="str">
        <x:v>Not Sent</x:v>
      </x:c>
      <x:c r="R3" s="14" t="str">
        <x:v>Not Started</x:v>
      </x:c>
      <x:c r="S3" s="14" t="str">
        <x:v>Not Sent</x:v>
      </x:c>
      <x:c r="T3" s="14" t="n">
        <x:v>0</x:v>
      </x:c>
      <x:c r="U3" s="14" t="str">
        <x:v>Joseph</x:v>
      </x:c>
      <x:c r="V3" s="14" t="str">
        <x:v>FOAP Pending</x:v>
      </x:c>
      <x:c r="W3" s="14" t="str">
        <x:v>Review and approve FOAP/account information</x:v>
      </x:c>
      <x:c r="X3" s="22"/>
      <x:c r="Y3" s="14" t="str">
        <x:v>Normal</x:v>
      </x:c>
      <x:c r="Z3" s="14" t="str"/>
      <x:c r="AA3" s="14" t="str">
        <x:v>Active</x:v>
      </x:c>
      <x:c r="AB3" s="14" t="str"/>
      <x:c r="AC3" s="14" t="str"/>
    </x:row>
    <x:row r="4">
      <x:c r="J4" s="23"/>
      <x:c r="X4" s="23"/>
    </x:row>
    <x:row r="5">
      <x:c r="J5" s="23"/>
      <x:c r="X5" s="23"/>
    </x:row>
    <x:row r="6">
      <x:c r="J6" s="23"/>
      <x:c r="X6" s="23"/>
    </x:row>
    <x:row r="7">
      <x:c r="J7" s="23"/>
      <x:c r="X7" s="23"/>
    </x:row>
    <x:row r="8">
      <x:c r="J8" s="23"/>
      <x:c r="X8" s="23"/>
    </x:row>
    <x:row r="9">
      <x:c r="J9" s="23"/>
      <x:c r="X9" s="23"/>
    </x:row>
    <x:row r="10">
      <x:c r="J10" s="23"/>
      <x:c r="X10" s="23"/>
    </x:row>
    <x:row r="11">
      <x:c r="J11" s="23"/>
      <x:c r="X11" s="23"/>
    </x:row>
    <x:row r="12">
      <x:c r="J12" s="23"/>
      <x:c r="X12" s="23"/>
    </x:row>
    <x:row r="13">
      <x:c r="J13" s="23"/>
      <x:c r="X13" s="23"/>
    </x:row>
    <x:row r="14">
      <x:c r="J14" s="23"/>
      <x:c r="X14" s="23"/>
    </x:row>
    <x:row r="15">
      <x:c r="J15" s="23"/>
      <x:c r="X15" s="23"/>
    </x:row>
    <x:row r="16">
      <x:c r="J16" s="23"/>
      <x:c r="X16" s="23"/>
    </x:row>
    <x:row r="17">
      <x:c r="J17" s="23"/>
      <x:c r="X17" s="23"/>
    </x:row>
    <x:row r="18">
      <x:c r="J18" s="23"/>
      <x:c r="X18" s="23"/>
    </x:row>
    <x:row r="19">
      <x:c r="J19" s="23"/>
      <x:c r="X19" s="23"/>
    </x:row>
    <x:row r="20">
      <x:c r="J20" s="23"/>
      <x:c r="X20" s="23"/>
    </x:row>
    <x:row r="21">
      <x:c r="J21" s="23"/>
      <x:c r="X21" s="23"/>
    </x:row>
    <x:row r="22">
      <x:c r="J22" s="23"/>
      <x:c r="X22" s="23"/>
    </x:row>
    <x:row r="23">
      <x:c r="J23" s="23"/>
      <x:c r="X23" s="23"/>
    </x:row>
    <x:row r="24">
      <x:c r="J24" s="23"/>
      <x:c r="X24" s="23"/>
    </x:row>
    <x:row r="25">
      <x:c r="J25" s="23"/>
      <x:c r="X25" s="23"/>
    </x:row>
    <x:row r="26">
      <x:c r="J26" s="23"/>
      <x:c r="X26" s="23"/>
    </x:row>
    <x:row r="27">
      <x:c r="J27" s="23"/>
      <x:c r="X27" s="23"/>
    </x:row>
    <x:row r="28">
      <x:c r="J28" s="23"/>
      <x:c r="X28" s="23"/>
    </x:row>
    <x:row r="29">
      <x:c r="J29" s="23"/>
      <x:c r="X29" s="23"/>
    </x:row>
    <x:row r="30">
      <x:c r="J30" s="23"/>
      <x:c r="X30" s="23"/>
    </x:row>
    <x:row r="31">
      <x:c r="J31" s="23"/>
      <x:c r="X31" s="23"/>
    </x:row>
    <x:row r="32">
      <x:c r="J32" s="23"/>
      <x:c r="X32" s="23"/>
    </x:row>
    <x:row r="33">
      <x:c r="J33" s="23"/>
      <x:c r="X33" s="23"/>
    </x:row>
    <x:row r="34">
      <x:c r="J34" s="23"/>
      <x:c r="X34" s="23"/>
    </x:row>
    <x:row r="35">
      <x:c r="J35" s="23"/>
      <x:c r="X35" s="23"/>
    </x:row>
    <x:row r="36">
      <x:c r="J36" s="23"/>
      <x:c r="X36" s="23"/>
    </x:row>
    <x:row r="37">
      <x:c r="J37" s="23"/>
      <x:c r="X37" s="23"/>
    </x:row>
    <x:row r="38">
      <x:c r="J38" s="23"/>
      <x:c r="X38" s="23"/>
    </x:row>
    <x:row r="39">
      <x:c r="J39" s="23"/>
      <x:c r="X39" s="23"/>
    </x:row>
    <x:row r="40">
      <x:c r="J40" s="23"/>
      <x:c r="X40" s="23"/>
    </x:row>
    <x:row r="41">
      <x:c r="J41" s="23"/>
      <x:c r="X41" s="23"/>
    </x:row>
    <x:row r="42">
      <x:c r="J42" s="23"/>
      <x:c r="X42" s="23"/>
    </x:row>
    <x:row r="43">
      <x:c r="J43" s="23"/>
      <x:c r="X43" s="23"/>
    </x:row>
    <x:row r="44">
      <x:c r="J44" s="23"/>
      <x:c r="X44" s="23"/>
    </x:row>
    <x:row r="45">
      <x:c r="J45" s="23"/>
      <x:c r="X45" s="23"/>
    </x:row>
    <x:row r="46">
      <x:c r="J46" s="23"/>
      <x:c r="X46" s="23"/>
    </x:row>
    <x:row r="47">
      <x:c r="J47" s="23"/>
      <x:c r="X47" s="23"/>
    </x:row>
    <x:row r="48">
      <x:c r="J48" s="23"/>
      <x:c r="X48" s="23"/>
    </x:row>
    <x:row r="49">
      <x:c r="J49" s="23"/>
      <x:c r="X49" s="23"/>
    </x:row>
    <x:row r="50">
      <x:c r="J50" s="23"/>
      <x:c r="X50" s="23"/>
    </x:row>
    <x:row r="51">
      <x:c r="J51" s="23"/>
      <x:c r="X51" s="23"/>
    </x:row>
    <x:row r="52">
      <x:c r="J52" s="23"/>
      <x:c r="X52" s="23"/>
    </x:row>
    <x:row r="53">
      <x:c r="J53" s="23"/>
      <x:c r="X53" s="23"/>
    </x:row>
    <x:row r="54">
      <x:c r="J54" s="23"/>
      <x:c r="X54" s="23"/>
    </x:row>
    <x:row r="55">
      <x:c r="J55" s="23"/>
      <x:c r="X55" s="23"/>
    </x:row>
    <x:row r="56">
      <x:c r="J56" s="23"/>
      <x:c r="X56" s="23"/>
    </x:row>
    <x:row r="57">
      <x:c r="J57" s="23"/>
      <x:c r="X57" s="23"/>
    </x:row>
    <x:row r="58">
      <x:c r="J58" s="23"/>
      <x:c r="X58" s="23"/>
    </x:row>
    <x:row r="59">
      <x:c r="J59" s="23"/>
      <x:c r="X59" s="23"/>
    </x:row>
    <x:row r="60">
      <x:c r="J60" s="23"/>
      <x:c r="X60" s="23"/>
    </x:row>
    <x:row r="61">
      <x:c r="J61" s="23"/>
      <x:c r="X61" s="23"/>
    </x:row>
    <x:row r="62">
      <x:c r="J62" s="23"/>
      <x:c r="X62" s="23"/>
    </x:row>
    <x:row r="63">
      <x:c r="J63" s="23"/>
      <x:c r="X63" s="23"/>
    </x:row>
    <x:row r="64">
      <x:c r="J64" s="23"/>
      <x:c r="X64" s="23"/>
    </x:row>
    <x:row r="65">
      <x:c r="J65" s="23"/>
      <x:c r="X65" s="23"/>
    </x:row>
    <x:row r="66">
      <x:c r="J66" s="23"/>
      <x:c r="X66" s="23"/>
    </x:row>
    <x:row r="67">
      <x:c r="J67" s="23"/>
      <x:c r="X67" s="23"/>
    </x:row>
    <x:row r="68">
      <x:c r="J68" s="23"/>
      <x:c r="X68" s="23"/>
    </x:row>
    <x:row r="69">
      <x:c r="J69" s="23"/>
      <x:c r="X69" s="23"/>
    </x:row>
    <x:row r="70">
      <x:c r="J70" s="23"/>
      <x:c r="X70" s="23"/>
    </x:row>
    <x:row r="71">
      <x:c r="J71" s="23"/>
      <x:c r="X71" s="23"/>
    </x:row>
    <x:row r="72">
      <x:c r="J72" s="23"/>
      <x:c r="X72" s="23"/>
    </x:row>
    <x:row r="73">
      <x:c r="J73" s="23"/>
      <x:c r="X73" s="23"/>
    </x:row>
    <x:row r="74">
      <x:c r="J74" s="23"/>
      <x:c r="X74" s="23"/>
    </x:row>
    <x:row r="75">
      <x:c r="J75" s="23"/>
      <x:c r="X75" s="23"/>
    </x:row>
    <x:row r="76">
      <x:c r="J76" s="23"/>
      <x:c r="X76" s="23"/>
    </x:row>
    <x:row r="77">
      <x:c r="J77" s="23"/>
      <x:c r="X77" s="23"/>
    </x:row>
    <x:row r="78">
      <x:c r="J78" s="23"/>
      <x:c r="X78" s="23"/>
    </x:row>
    <x:row r="79">
      <x:c r="J79" s="23"/>
      <x:c r="X79" s="23"/>
    </x:row>
    <x:row r="80">
      <x:c r="J80" s="23"/>
      <x:c r="X80" s="23"/>
    </x:row>
    <x:row r="81">
      <x:c r="J81" s="23"/>
      <x:c r="X81" s="23"/>
    </x:row>
    <x:row r="82">
      <x:c r="J82" s="23"/>
      <x:c r="X82" s="23"/>
    </x:row>
    <x:row r="83">
      <x:c r="J83" s="23"/>
      <x:c r="X83" s="23"/>
    </x:row>
    <x:row r="84">
      <x:c r="J84" s="23"/>
      <x:c r="X84" s="23"/>
    </x:row>
    <x:row r="85">
      <x:c r="J85" s="23"/>
      <x:c r="X85" s="23"/>
    </x:row>
    <x:row r="86">
      <x:c r="J86" s="23"/>
      <x:c r="X86" s="23"/>
    </x:row>
    <x:row r="87">
      <x:c r="J87" s="23"/>
      <x:c r="X87" s="23"/>
    </x:row>
    <x:row r="88">
      <x:c r="J88" s="23"/>
      <x:c r="X88" s="23"/>
    </x:row>
    <x:row r="89">
      <x:c r="J89" s="23"/>
      <x:c r="X89" s="23"/>
    </x:row>
    <x:row r="90">
      <x:c r="J90" s="23"/>
      <x:c r="X90" s="23"/>
    </x:row>
    <x:row r="91">
      <x:c r="J91" s="23"/>
      <x:c r="X91" s="23"/>
    </x:row>
    <x:row r="92">
      <x:c r="J92" s="23"/>
      <x:c r="X92" s="23"/>
    </x:row>
    <x:row r="93">
      <x:c r="J93" s="23"/>
      <x:c r="X93" s="23"/>
    </x:row>
    <x:row r="94">
      <x:c r="J94" s="23"/>
      <x:c r="X94" s="23"/>
    </x:row>
    <x:row r="95">
      <x:c r="J95" s="23"/>
      <x:c r="X95" s="23"/>
    </x:row>
    <x:row r="96">
      <x:c r="J96" s="23"/>
      <x:c r="X96" s="23"/>
    </x:row>
    <x:row r="97">
      <x:c r="J97" s="23"/>
      <x:c r="X97" s="23"/>
    </x:row>
    <x:row r="98">
      <x:c r="J98" s="23"/>
      <x:c r="X98" s="23"/>
    </x:row>
    <x:row r="99">
      <x:c r="J99" s="23"/>
      <x:c r="X99" s="23"/>
    </x:row>
    <x:row r="100">
      <x:c r="J100" s="23"/>
      <x:c r="X100" s="23"/>
    </x:row>
  </x:sheetData>
  <x:conditionalFormatting sqref="V2:V100">
    <x:cfRule type="expression" dxfId="0" priority="1">
      <x:formula>$V2="Revision Requested"</x:formula>
    </x:cfRule>
    <x:cfRule type="expression" dxfId="1" priority="2">
      <x:formula>$V2="Finalized"</x:formula>
    </x:cfRule>
    <x:cfRule type="expression" dxfId="2" priority="3">
      <x:formula>$V2="FOAP Pending"</x:formula>
    </x:cfRule>
  </x:conditionalFormatting>
  <x:dataValidations count="8">
    <x:dataValidation type="list" sqref="V2:V100">
      <x:formula1>'Dropdown Values'!$A$2:$A$14</x:formula1>
    </x:dataValidation>
    <x:dataValidation type="list" sqref="G2:G100">
      <x:formula1>'Dropdown Values'!$C$2:$C$4</x:formula1>
    </x:dataValidation>
    <x:dataValidation type="list" sqref="L2:L100">
      <x:formula1>'Dropdown Values'!$D$2:$D$6</x:formula1>
    </x:dataValidation>
    <x:dataValidation type="list" sqref="Y2:Y100">
      <x:formula1>'Dropdown Values'!$E$2:$E$3</x:formula1>
    </x:dataValidation>
    <x:dataValidation type="list" sqref="P2:P100">
      <x:formula1>'Dropdown Values'!$I$2:$I$8</x:formula1>
    </x:dataValidation>
    <x:dataValidation type="list" sqref="Q2:Q100">
      <x:formula1>'Dropdown Values'!$I$2:$I$8</x:formula1>
    </x:dataValidation>
    <x:dataValidation type="list" sqref="R2:R100">
      <x:formula1>'Dropdown Values'!$I$2:$I$8</x:formula1>
    </x:dataValidation>
    <x:dataValidation type="list" sqref="S2:S100">
      <x:formula1>'Dropdown Values'!$I$2:$I$8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c4ece978c44f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0" hidden="0" customWidth="1"/>
    <x:col min="10" max="10" width="18" hidden="0" customWidth="1"/>
    <x:col min="11" max="11" width="18" hidden="0" customWidth="1"/>
    <x:col min="12" max="12" width="34" hidden="0" customWidth="1"/>
    <x:col min="13" max="13" width="18" hidden="0" customWidth="1"/>
    <x:col min="14" max="14" width="18" hidden="0" customWidth="1"/>
  </x:cols>
  <x:sheetData>
    <x:row r="1" ht="28" customHeight="1">
      <x:c r="A1" s="10" t="str">
        <x:v>Schedule Detail ID</x:v>
      </x:c>
      <x:c r="B1" s="10" t="str">
        <x:v>Request ID</x:v>
      </x:c>
      <x:c r="C1" s="10" t="str">
        <x:v>Counselor Name</x:v>
      </x:c>
      <x:c r="D1" s="10" t="str">
        <x:v>Term</x:v>
      </x:c>
      <x:c r="E1" s="10" t="str">
        <x:v>Day</x:v>
      </x:c>
      <x:c r="F1" s="10" t="str">
        <x:v>Start Time</x:v>
      </x:c>
      <x:c r="G1" s="10" t="str">
        <x:v>End Time</x:v>
      </x:c>
      <x:c r="H1" s="10" t="str">
        <x:v>Assignment</x:v>
      </x:c>
      <x:c r="I1" s="10" t="str">
        <x:v>Hours</x:v>
      </x:c>
      <x:c r="J1" s="10" t="str">
        <x:v>Modality</x:v>
      </x:c>
      <x:c r="K1" s="10" t="str">
        <x:v>Location</x:v>
      </x:c>
      <x:c r="L1" s="10" t="str">
        <x:v>Notes</x:v>
      </x:c>
      <x:c r="M1" s="10" t="str">
        <x:v>Active on Final Schedule</x:v>
      </x:c>
      <x:c r="N1" s="10" t="str">
        <x:v>Revision Number</x:v>
      </x:c>
    </x:row>
    <x:row r="2">
      <x:c r="A2" s="14" t="str">
        <x:v>SCH-0001</x:v>
      </x:c>
      <x:c r="B2" s="14" t="str">
        <x:v>REQ-0001</x:v>
      </x:c>
      <x:c r="C2" s="14" t="str">
        <x:v>Sample Counselor</x:v>
      </x:c>
      <x:c r="D2" s="14" t="str">
        <x:v>Fall 2026</x:v>
      </x:c>
      <x:c r="E2" s="14" t="str">
        <x:v>Monday</x:v>
      </x:c>
      <x:c r="F2" s="14" t="str">
        <x:v>9:00 AM</x:v>
      </x:c>
      <x:c r="G2" s="14" t="str">
        <x:v>12:00 PM</x:v>
      </x:c>
      <x:c r="H2" s="14" t="str">
        <x:v>General Counseling</x:v>
      </x:c>
      <x:c r="I2" s="14" t="n">
        <x:v>3</x:v>
      </x:c>
      <x:c r="J2" s="14" t="str">
        <x:v>Hybrid</x:v>
      </x:c>
      <x:c r="K2" s="14" t="str">
        <x:v>Zoom / Campus</x:v>
      </x:c>
      <x:c r="L2" s="14" t="str"/>
      <x:c r="M2" s="20" t="b">
        <x:v>1</x:v>
      </x:c>
      <x:c r="N2" s="14" t="n">
        <x:v>0</x:v>
      </x:c>
    </x:row>
    <x:row r="3">
      <x:c r="A3" s="14" t="str">
        <x:v>SCH-0002</x:v>
      </x:c>
      <x:c r="B3" s="14" t="str">
        <x:v>REQ-0001</x:v>
      </x:c>
      <x:c r="C3" s="14" t="str">
        <x:v>Sample Counselor</x:v>
      </x:c>
      <x:c r="D3" s="14" t="str">
        <x:v>Fall 2026</x:v>
      </x:c>
      <x:c r="E3" s="14" t="str">
        <x:v>Wednesday</x:v>
      </x:c>
      <x:c r="F3" s="14" t="str">
        <x:v>9:00 AM</x:v>
      </x:c>
      <x:c r="G3" s="14" t="str">
        <x:v>12:00 PM</x:v>
      </x:c>
      <x:c r="H3" s="14" t="str">
        <x:v>General Counseling</x:v>
      </x:c>
      <x:c r="I3" s="14" t="n">
        <x:v>3</x:v>
      </x:c>
      <x:c r="J3" s="14" t="str">
        <x:v>Hybrid</x:v>
      </x:c>
      <x:c r="K3" s="14" t="str">
        <x:v>Zoom / Campus</x:v>
      </x:c>
      <x:c r="L3" s="14" t="str"/>
      <x:c r="M3" s="20" t="b">
        <x:v>1</x:v>
      </x:c>
      <x:c r="N3" s="14" t="n">
        <x:v>0</x:v>
      </x:c>
    </x:row>
  </x:sheetData>
  <x:dataValidations count="2">
    <x:dataValidation type="list" sqref="E2:E100">
      <x:formula1>'Dropdown Values'!$F$2:$F$7</x:formula1>
    </x:dataValidation>
    <x:dataValidation type="list" sqref="J2:J100">
      <x:formula1>'Dropdown Values'!$D$2:$D$6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47ee7a668b44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34" hidden="0" customWidth="1"/>
    <x:col min="14" max="14" width="18" hidden="0" customWidth="1"/>
    <x:col min="15" max="15" width="28" hidden="0" customWidth="1"/>
    <x:col min="16" max="16" width="28" hidden="0" customWidth="1"/>
  </x:cols>
  <x:sheetData>
    <x:row r="1" ht="28" customHeight="1">
      <x:c r="A1" s="10" t="str">
        <x:v>Approval ID</x:v>
      </x:c>
      <x:c r="B1" s="10" t="str">
        <x:v>Request ID</x:v>
      </x:c>
      <x:c r="C1" s="10" t="str">
        <x:v>Counselor Name</x:v>
      </x:c>
      <x:c r="D1" s="10" t="str">
        <x:v>Term</x:v>
      </x:c>
      <x:c r="E1" s="10" t="str">
        <x:v>Revision Number</x:v>
      </x:c>
      <x:c r="F1" s="10" t="str">
        <x:v>Approver Role</x:v>
      </x:c>
      <x:c r="G1" s="10" t="str">
        <x:v>Approver Name</x:v>
      </x:c>
      <x:c r="H1" s="10" t="str">
        <x:v>Approver Email</x:v>
      </x:c>
      <x:c r="I1" s="10" t="str">
        <x:v>Approval Step</x:v>
      </x:c>
      <x:c r="J1" s="10" t="str">
        <x:v>Approval Status</x:v>
      </x:c>
      <x:c r="K1" s="10" t="str">
        <x:v>Date Sent</x:v>
      </x:c>
      <x:c r="L1" s="10" t="str">
        <x:v>Date Completed</x:v>
      </x:c>
      <x:c r="M1" s="10" t="str">
        <x:v>Comments / Revision Notes</x:v>
      </x:c>
      <x:c r="N1" s="10" t="str">
        <x:v>Requires Re-Approval</x:v>
      </x:c>
      <x:c r="O1" s="10" t="str">
        <x:v>Adobe Sign Agreement Link</x:v>
      </x:c>
      <x:c r="P1" s="10" t="str">
        <x:v>Attachment / PDF Link</x:v>
      </x:c>
    </x:row>
    <x:row r="2">
      <x:c r="A2" s="14" t="str">
        <x:v>APR-0001</x:v>
      </x:c>
      <x:c r="B2" s="14" t="str">
        <x:v>REQ-0001</x:v>
      </x:c>
      <x:c r="C2" s="14" t="str">
        <x:v>Sample Counselor</x:v>
      </x:c>
      <x:c r="D2" s="14" t="str">
        <x:v>Fall 2026</x:v>
      </x:c>
      <x:c r="E2" s="14" t="n">
        <x:v>0</x:v>
      </x:c>
      <x:c r="F2" s="14" t="str">
        <x:v>Judith</x:v>
      </x:c>
      <x:c r="G2" s="14" t="str">
        <x:v>Judith</x:v>
      </x:c>
      <x:c r="H2" s="14" t="str"/>
      <x:c r="I2" s="14" t="str">
        <x:v>Schedule Draft Review</x:v>
      </x:c>
      <x:c r="J2" s="14" t="str">
        <x:v>Pending</x:v>
      </x:c>
      <x:c r="K2" s="22"/>
      <x:c r="L2" s="22"/>
      <x:c r="M2" s="14" t="str"/>
      <x:c r="N2" s="20" t="b">
        <x:v>0</x:v>
      </x:c>
      <x:c r="O2" s="14" t="str"/>
      <x:c r="P2" s="14" t="str"/>
    </x:row>
    <x:row r="3">
      <x:c r="A3" s="14" t="str">
        <x:v>APR-0002</x:v>
      </x:c>
      <x:c r="B3" s="14" t="str">
        <x:v>REQ-0001</x:v>
      </x:c>
      <x:c r="C3" s="14" t="str">
        <x:v>Sample Counselor</x:v>
      </x:c>
      <x:c r="D3" s="14" t="str">
        <x:v>Fall 2026</x:v>
      </x:c>
      <x:c r="E3" s="14" t="n">
        <x:v>0</x:v>
      </x:c>
      <x:c r="F3" s="14" t="str">
        <x:v>Joseph</x:v>
      </x:c>
      <x:c r="G3" s="14" t="str">
        <x:v>Joseph Jaballa</x:v>
      </x:c>
      <x:c r="H3" s="14" t="str"/>
      <x:c r="I3" s="14" t="str">
        <x:v>FOAP Approval</x:v>
      </x:c>
      <x:c r="J3" s="14" t="str">
        <x:v>Not Sent</x:v>
      </x:c>
      <x:c r="K3" s="22"/>
      <x:c r="L3" s="22"/>
      <x:c r="M3" s="14" t="str"/>
      <x:c r="N3" s="20" t="b">
        <x:v>0</x:v>
      </x:c>
      <x:c r="O3" s="14" t="str"/>
      <x:c r="P3" s="14" t="str"/>
    </x:row>
    <x:row r="4">
      <x:c r="K4" s="23"/>
      <x:c r="L4" s="23"/>
    </x:row>
    <x:row r="5">
      <x:c r="K5" s="23"/>
      <x:c r="L5" s="23"/>
    </x:row>
    <x:row r="6">
      <x:c r="K6" s="23"/>
      <x:c r="L6" s="23"/>
    </x:row>
    <x:row r="7">
      <x:c r="K7" s="23"/>
      <x:c r="L7" s="23"/>
    </x:row>
    <x:row r="8">
      <x:c r="K8" s="23"/>
      <x:c r="L8" s="23"/>
    </x:row>
    <x:row r="9">
      <x:c r="K9" s="23"/>
      <x:c r="L9" s="23"/>
    </x:row>
    <x:row r="10">
      <x:c r="K10" s="23"/>
      <x:c r="L10" s="23"/>
    </x:row>
    <x:row r="11">
      <x:c r="K11" s="23"/>
      <x:c r="L11" s="23"/>
    </x:row>
    <x:row r="12">
      <x:c r="K12" s="23"/>
      <x:c r="L12" s="23"/>
    </x:row>
    <x:row r="13">
      <x:c r="K13" s="23"/>
      <x:c r="L13" s="23"/>
    </x:row>
    <x:row r="14">
      <x:c r="K14" s="23"/>
      <x:c r="L14" s="23"/>
    </x:row>
    <x:row r="15">
      <x:c r="K15" s="23"/>
      <x:c r="L15" s="23"/>
    </x:row>
    <x:row r="16">
      <x:c r="K16" s="23"/>
      <x:c r="L16" s="23"/>
    </x:row>
    <x:row r="17">
      <x:c r="K17" s="23"/>
      <x:c r="L17" s="23"/>
    </x:row>
    <x:row r="18">
      <x:c r="K18" s="23"/>
      <x:c r="L18" s="23"/>
    </x:row>
    <x:row r="19">
      <x:c r="K19" s="23"/>
      <x:c r="L19" s="23"/>
    </x:row>
    <x:row r="20">
      <x:c r="K20" s="23"/>
      <x:c r="L20" s="23"/>
    </x:row>
    <x:row r="21">
      <x:c r="K21" s="23"/>
      <x:c r="L21" s="23"/>
    </x:row>
    <x:row r="22">
      <x:c r="K22" s="23"/>
      <x:c r="L22" s="23"/>
    </x:row>
    <x:row r="23">
      <x:c r="K23" s="23"/>
      <x:c r="L23" s="23"/>
    </x:row>
    <x:row r="24">
      <x:c r="K24" s="23"/>
      <x:c r="L24" s="23"/>
    </x:row>
    <x:row r="25">
      <x:c r="K25" s="23"/>
      <x:c r="L25" s="23"/>
    </x:row>
    <x:row r="26">
      <x:c r="K26" s="23"/>
      <x:c r="L26" s="23"/>
    </x:row>
    <x:row r="27">
      <x:c r="K27" s="23"/>
      <x:c r="L27" s="23"/>
    </x:row>
    <x:row r="28">
      <x:c r="K28" s="23"/>
      <x:c r="L28" s="23"/>
    </x:row>
    <x:row r="29">
      <x:c r="K29" s="23"/>
      <x:c r="L29" s="23"/>
    </x:row>
    <x:row r="30">
      <x:c r="K30" s="23"/>
      <x:c r="L30" s="23"/>
    </x:row>
    <x:row r="31">
      <x:c r="K31" s="23"/>
      <x:c r="L31" s="23"/>
    </x:row>
    <x:row r="32">
      <x:c r="K32" s="23"/>
      <x:c r="L32" s="23"/>
    </x:row>
    <x:row r="33">
      <x:c r="K33" s="23"/>
      <x:c r="L33" s="23"/>
    </x:row>
    <x:row r="34">
      <x:c r="K34" s="23"/>
      <x:c r="L34" s="23"/>
    </x:row>
    <x:row r="35">
      <x:c r="K35" s="23"/>
      <x:c r="L35" s="23"/>
    </x:row>
    <x:row r="36">
      <x:c r="K36" s="23"/>
      <x:c r="L36" s="23"/>
    </x:row>
    <x:row r="37">
      <x:c r="K37" s="23"/>
      <x:c r="L37" s="23"/>
    </x:row>
    <x:row r="38">
      <x:c r="K38" s="23"/>
      <x:c r="L38" s="23"/>
    </x:row>
    <x:row r="39">
      <x:c r="K39" s="23"/>
      <x:c r="L39" s="23"/>
    </x:row>
    <x:row r="40">
      <x:c r="K40" s="23"/>
      <x:c r="L40" s="23"/>
    </x:row>
    <x:row r="41">
      <x:c r="K41" s="23"/>
      <x:c r="L41" s="23"/>
    </x:row>
    <x:row r="42">
      <x:c r="K42" s="23"/>
      <x:c r="L42" s="23"/>
    </x:row>
    <x:row r="43">
      <x:c r="K43" s="23"/>
      <x:c r="L43" s="23"/>
    </x:row>
    <x:row r="44">
      <x:c r="K44" s="23"/>
      <x:c r="L44" s="23"/>
    </x:row>
    <x:row r="45">
      <x:c r="K45" s="23"/>
      <x:c r="L45" s="23"/>
    </x:row>
    <x:row r="46">
      <x:c r="K46" s="23"/>
      <x:c r="L46" s="23"/>
    </x:row>
    <x:row r="47">
      <x:c r="K47" s="23"/>
      <x:c r="L47" s="23"/>
    </x:row>
    <x:row r="48">
      <x:c r="K48" s="23"/>
      <x:c r="L48" s="23"/>
    </x:row>
    <x:row r="49">
      <x:c r="K49" s="23"/>
      <x:c r="L49" s="23"/>
    </x:row>
    <x:row r="50">
      <x:c r="K50" s="23"/>
      <x:c r="L50" s="23"/>
    </x:row>
    <x:row r="51">
      <x:c r="K51" s="23"/>
      <x:c r="L51" s="23"/>
    </x:row>
    <x:row r="52">
      <x:c r="K52" s="23"/>
      <x:c r="L52" s="23"/>
    </x:row>
    <x:row r="53">
      <x:c r="K53" s="23"/>
      <x:c r="L53" s="23"/>
    </x:row>
    <x:row r="54">
      <x:c r="K54" s="23"/>
      <x:c r="L54" s="23"/>
    </x:row>
    <x:row r="55">
      <x:c r="K55" s="23"/>
      <x:c r="L55" s="23"/>
    </x:row>
    <x:row r="56">
      <x:c r="K56" s="23"/>
      <x:c r="L56" s="23"/>
    </x:row>
    <x:row r="57">
      <x:c r="K57" s="23"/>
      <x:c r="L57" s="23"/>
    </x:row>
    <x:row r="58">
      <x:c r="K58" s="23"/>
      <x:c r="L58" s="23"/>
    </x:row>
    <x:row r="59">
      <x:c r="K59" s="23"/>
      <x:c r="L59" s="23"/>
    </x:row>
    <x:row r="60">
      <x:c r="K60" s="23"/>
      <x:c r="L60" s="23"/>
    </x:row>
    <x:row r="61">
      <x:c r="K61" s="23"/>
      <x:c r="L61" s="23"/>
    </x:row>
    <x:row r="62">
      <x:c r="K62" s="23"/>
      <x:c r="L62" s="23"/>
    </x:row>
    <x:row r="63">
      <x:c r="K63" s="23"/>
      <x:c r="L63" s="23"/>
    </x:row>
    <x:row r="64">
      <x:c r="K64" s="23"/>
      <x:c r="L64" s="23"/>
    </x:row>
    <x:row r="65">
      <x:c r="K65" s="23"/>
      <x:c r="L65" s="23"/>
    </x:row>
    <x:row r="66">
      <x:c r="K66" s="23"/>
      <x:c r="L66" s="23"/>
    </x:row>
    <x:row r="67">
      <x:c r="K67" s="23"/>
      <x:c r="L67" s="23"/>
    </x:row>
    <x:row r="68">
      <x:c r="K68" s="23"/>
      <x:c r="L68" s="23"/>
    </x:row>
    <x:row r="69">
      <x:c r="K69" s="23"/>
      <x:c r="L69" s="23"/>
    </x:row>
    <x:row r="70">
      <x:c r="K70" s="23"/>
      <x:c r="L70" s="23"/>
    </x:row>
    <x:row r="71">
      <x:c r="K71" s="23"/>
      <x:c r="L71" s="23"/>
    </x:row>
    <x:row r="72">
      <x:c r="K72" s="23"/>
      <x:c r="L72" s="23"/>
    </x:row>
    <x:row r="73">
      <x:c r="K73" s="23"/>
      <x:c r="L73" s="23"/>
    </x:row>
    <x:row r="74">
      <x:c r="K74" s="23"/>
      <x:c r="L74" s="23"/>
    </x:row>
    <x:row r="75">
      <x:c r="K75" s="23"/>
      <x:c r="L75" s="23"/>
    </x:row>
    <x:row r="76">
      <x:c r="K76" s="23"/>
      <x:c r="L76" s="23"/>
    </x:row>
    <x:row r="77">
      <x:c r="K77" s="23"/>
      <x:c r="L77" s="23"/>
    </x:row>
    <x:row r="78">
      <x:c r="K78" s="23"/>
      <x:c r="L78" s="23"/>
    </x:row>
    <x:row r="79">
      <x:c r="K79" s="23"/>
      <x:c r="L79" s="23"/>
    </x:row>
    <x:row r="80">
      <x:c r="K80" s="23"/>
      <x:c r="L80" s="23"/>
    </x:row>
    <x:row r="81">
      <x:c r="K81" s="23"/>
      <x:c r="L81" s="23"/>
    </x:row>
    <x:row r="82">
      <x:c r="K82" s="23"/>
      <x:c r="L82" s="23"/>
    </x:row>
    <x:row r="83">
      <x:c r="K83" s="23"/>
      <x:c r="L83" s="23"/>
    </x:row>
    <x:row r="84">
      <x:c r="K84" s="23"/>
      <x:c r="L84" s="23"/>
    </x:row>
    <x:row r="85">
      <x:c r="K85" s="23"/>
      <x:c r="L85" s="23"/>
    </x:row>
    <x:row r="86">
      <x:c r="K86" s="23"/>
      <x:c r="L86" s="23"/>
    </x:row>
    <x:row r="87">
      <x:c r="K87" s="23"/>
      <x:c r="L87" s="23"/>
    </x:row>
    <x:row r="88">
      <x:c r="K88" s="23"/>
      <x:c r="L88" s="23"/>
    </x:row>
    <x:row r="89">
      <x:c r="K89" s="23"/>
      <x:c r="L89" s="23"/>
    </x:row>
    <x:row r="90">
      <x:c r="K90" s="23"/>
      <x:c r="L90" s="23"/>
    </x:row>
    <x:row r="91">
      <x:c r="K91" s="23"/>
      <x:c r="L91" s="23"/>
    </x:row>
    <x:row r="92">
      <x:c r="K92" s="23"/>
      <x:c r="L92" s="23"/>
    </x:row>
    <x:row r="93">
      <x:c r="K93" s="23"/>
      <x:c r="L93" s="23"/>
    </x:row>
    <x:row r="94">
      <x:c r="K94" s="23"/>
      <x:c r="L94" s="23"/>
    </x:row>
    <x:row r="95">
      <x:c r="K95" s="23"/>
      <x:c r="L95" s="23"/>
    </x:row>
    <x:row r="96">
      <x:c r="K96" s="23"/>
      <x:c r="L96" s="23"/>
    </x:row>
    <x:row r="97">
      <x:c r="K97" s="23"/>
      <x:c r="L97" s="23"/>
    </x:row>
    <x:row r="98">
      <x:c r="K98" s="23"/>
      <x:c r="L98" s="23"/>
    </x:row>
    <x:row r="99">
      <x:c r="K99" s="23"/>
      <x:c r="L99" s="23"/>
    </x:row>
    <x:row r="100">
      <x:c r="K100" s="23"/>
      <x:c r="L100" s="23"/>
    </x:row>
  </x:sheetData>
  <x:dataValidations count="3">
    <x:dataValidation type="list" sqref="F2:F100">
      <x:formula1>'Dropdown Values'!$G$2:$G$6</x:formula1>
    </x:dataValidation>
    <x:dataValidation type="list" sqref="I2:I100">
      <x:formula1>'Dropdown Values'!$H$2:$H$7</x:formula1>
    </x:dataValidation>
    <x:dataValidation type="list" sqref="J2:J100">
      <x:formula1>'Dropdown Values'!$I$2:$I$8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42d17006794a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4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18" hidden="0" customWidth="1"/>
    <x:col min="15" max="15" width="18" hidden="0" customWidth="1"/>
    <x:col min="16" max="16" width="14" hidden="0" customWidth="1"/>
    <x:col min="17" max="17" width="34" hidden="0" customWidth="1"/>
  </x:cols>
  <x:sheetData>
    <x:row r="1" ht="28" customHeight="1">
      <x:c r="A1" s="10" t="str">
        <x:v>Document ID</x:v>
      </x:c>
      <x:c r="B1" s="10" t="str">
        <x:v>Request ID</x:v>
      </x:c>
      <x:c r="C1" s="10" t="str">
        <x:v>Counselor Name</x:v>
      </x:c>
      <x:c r="D1" s="10" t="str">
        <x:v>Term</x:v>
      </x:c>
      <x:c r="E1" s="10" t="str">
        <x:v>Revision Number</x:v>
      </x:c>
      <x:c r="F1" s="10" t="str">
        <x:v>Document Type</x:v>
      </x:c>
      <x:c r="G1" s="10" t="str">
        <x:v>Document Status</x:v>
      </x:c>
      <x:c r="H1" s="10" t="str">
        <x:v>Generated Date</x:v>
      </x:c>
      <x:c r="I1" s="10" t="str">
        <x:v>Generated By</x:v>
      </x:c>
      <x:c r="J1" s="10" t="str">
        <x:v>Current PDF Link</x:v>
      </x:c>
      <x:c r="K1" s="10" t="str">
        <x:v>Adobe Sign Agreement Link</x:v>
      </x:c>
      <x:c r="L1" s="10" t="str">
        <x:v>Signed PDF Link</x:v>
      </x:c>
      <x:c r="M1" s="10" t="str">
        <x:v>SharePoint Final Link</x:v>
      </x:c>
      <x:c r="N1" s="10" t="str">
        <x:v>File Name</x:v>
      </x:c>
      <x:c r="O1" s="10" t="str">
        <x:v>Sent to VPSS</x:v>
      </x:c>
      <x:c r="P1" s="10" t="str">
        <x:v>VPSS Submission Date</x:v>
      </x:c>
      <x:c r="Q1" s="10" t="str">
        <x:v>Archive Notes</x:v>
      </x:c>
    </x:row>
    <x:row r="2">
      <x:c r="A2" s="14" t="str">
        <x:v>DOC-0001</x:v>
      </x:c>
      <x:c r="B2" s="14" t="str">
        <x:v>REQ-0001</x:v>
      </x:c>
      <x:c r="C2" s="14" t="str">
        <x:v>Sample Counselor</x:v>
      </x:c>
      <x:c r="D2" s="14" t="str">
        <x:v>Fall 2026</x:v>
      </x:c>
      <x:c r="E2" s="14" t="n">
        <x:v>0</x:v>
      </x:c>
      <x:c r="F2" s="14" t="str">
        <x:v>Assignment Letter</x:v>
      </x:c>
      <x:c r="G2" s="14" t="str">
        <x:v>Draft</x:v>
      </x:c>
      <x:c r="H2" s="22"/>
      <x:c r="I2" s="14" t="str">
        <x:v>Judith</x:v>
      </x:c>
      <x:c r="J2" s="14" t="str"/>
      <x:c r="K2" s="14" t="str"/>
      <x:c r="L2" s="14" t="str"/>
      <x:c r="M2" s="14" t="str"/>
      <x:c r="N2" s="14" t="str">
        <x:v>Fall 2026 - Counseling - Sample Counselor - Assignment Letter - Rev 0.pdf</x:v>
      </x:c>
      <x:c r="O2" s="20" t="b">
        <x:v>0</x:v>
      </x:c>
      <x:c r="P2" s="22"/>
      <x:c r="Q2" s="14" t="str"/>
    </x:row>
    <x:row r="3">
      <x:c r="A3" s="14" t="str">
        <x:v>DOC-0002</x:v>
      </x:c>
      <x:c r="B3" s="14" t="str">
        <x:v>REQ-0001</x:v>
      </x:c>
      <x:c r="C3" s="14" t="str">
        <x:v>Sample Counselor</x:v>
      </x:c>
      <x:c r="D3" s="14" t="str">
        <x:v>Fall 2026</x:v>
      </x:c>
      <x:c r="E3" s="14" t="n">
        <x:v>0</x:v>
      </x:c>
      <x:c r="F3" s="14" t="str">
        <x:v>Payroll Setup</x:v>
      </x:c>
      <x:c r="G3" s="14" t="str">
        <x:v>Draft</x:v>
      </x:c>
      <x:c r="H3" s="22"/>
      <x:c r="I3" s="14" t="str">
        <x:v>Judith</x:v>
      </x:c>
      <x:c r="J3" s="14" t="str"/>
      <x:c r="K3" s="14" t="str"/>
      <x:c r="L3" s="14" t="str"/>
      <x:c r="M3" s="14" t="str"/>
      <x:c r="N3" s="14" t="str">
        <x:v>Fall 2026 - Counseling - Sample Counselor - Payroll Setup - Rev 0.pdf</x:v>
      </x:c>
      <x:c r="O3" s="20" t="b">
        <x:v>0</x:v>
      </x:c>
      <x:c r="P3" s="22"/>
      <x:c r="Q3" s="14" t="str"/>
    </x:row>
    <x:row r="4">
      <x:c r="H4" s="23"/>
      <x:c r="P4" s="23"/>
    </x:row>
    <x:row r="5">
      <x:c r="H5" s="23"/>
      <x:c r="P5" s="23"/>
    </x:row>
    <x:row r="6">
      <x:c r="H6" s="23"/>
      <x:c r="P6" s="23"/>
    </x:row>
    <x:row r="7">
      <x:c r="H7" s="23"/>
      <x:c r="P7" s="23"/>
    </x:row>
    <x:row r="8">
      <x:c r="H8" s="23"/>
      <x:c r="P8" s="23"/>
    </x:row>
    <x:row r="9">
      <x:c r="H9" s="23"/>
      <x:c r="P9" s="23"/>
    </x:row>
    <x:row r="10">
      <x:c r="H10" s="23"/>
      <x:c r="P10" s="23"/>
    </x:row>
    <x:row r="11">
      <x:c r="H11" s="23"/>
      <x:c r="P11" s="23"/>
    </x:row>
    <x:row r="12">
      <x:c r="H12" s="23"/>
      <x:c r="P12" s="23"/>
    </x:row>
    <x:row r="13">
      <x:c r="H13" s="23"/>
      <x:c r="P13" s="23"/>
    </x:row>
    <x:row r="14">
      <x:c r="H14" s="23"/>
      <x:c r="P14" s="23"/>
    </x:row>
    <x:row r="15">
      <x:c r="H15" s="23"/>
      <x:c r="P15" s="23"/>
    </x:row>
    <x:row r="16">
      <x:c r="H16" s="23"/>
      <x:c r="P16" s="23"/>
    </x:row>
    <x:row r="17">
      <x:c r="H17" s="23"/>
      <x:c r="P17" s="23"/>
    </x:row>
    <x:row r="18">
      <x:c r="H18" s="23"/>
      <x:c r="P18" s="23"/>
    </x:row>
    <x:row r="19">
      <x:c r="H19" s="23"/>
      <x:c r="P19" s="23"/>
    </x:row>
    <x:row r="20">
      <x:c r="H20" s="23"/>
      <x:c r="P20" s="23"/>
    </x:row>
    <x:row r="21">
      <x:c r="H21" s="23"/>
      <x:c r="P21" s="23"/>
    </x:row>
    <x:row r="22">
      <x:c r="H22" s="23"/>
      <x:c r="P22" s="23"/>
    </x:row>
    <x:row r="23">
      <x:c r="H23" s="23"/>
      <x:c r="P23" s="23"/>
    </x:row>
    <x:row r="24">
      <x:c r="H24" s="23"/>
      <x:c r="P24" s="23"/>
    </x:row>
    <x:row r="25">
      <x:c r="H25" s="23"/>
      <x:c r="P25" s="23"/>
    </x:row>
    <x:row r="26">
      <x:c r="H26" s="23"/>
      <x:c r="P26" s="23"/>
    </x:row>
    <x:row r="27">
      <x:c r="H27" s="23"/>
      <x:c r="P27" s="23"/>
    </x:row>
    <x:row r="28">
      <x:c r="H28" s="23"/>
      <x:c r="P28" s="23"/>
    </x:row>
    <x:row r="29">
      <x:c r="H29" s="23"/>
      <x:c r="P29" s="23"/>
    </x:row>
    <x:row r="30">
      <x:c r="H30" s="23"/>
      <x:c r="P30" s="23"/>
    </x:row>
    <x:row r="31">
      <x:c r="H31" s="23"/>
      <x:c r="P31" s="23"/>
    </x:row>
    <x:row r="32">
      <x:c r="H32" s="23"/>
      <x:c r="P32" s="23"/>
    </x:row>
    <x:row r="33">
      <x:c r="H33" s="23"/>
      <x:c r="P33" s="23"/>
    </x:row>
    <x:row r="34">
      <x:c r="H34" s="23"/>
      <x:c r="P34" s="23"/>
    </x:row>
    <x:row r="35">
      <x:c r="H35" s="23"/>
      <x:c r="P35" s="23"/>
    </x:row>
    <x:row r="36">
      <x:c r="H36" s="23"/>
      <x:c r="P36" s="23"/>
    </x:row>
    <x:row r="37">
      <x:c r="H37" s="23"/>
      <x:c r="P37" s="23"/>
    </x:row>
    <x:row r="38">
      <x:c r="H38" s="23"/>
      <x:c r="P38" s="23"/>
    </x:row>
    <x:row r="39">
      <x:c r="H39" s="23"/>
      <x:c r="P39" s="23"/>
    </x:row>
    <x:row r="40">
      <x:c r="H40" s="23"/>
      <x:c r="P40" s="23"/>
    </x:row>
    <x:row r="41">
      <x:c r="H41" s="23"/>
      <x:c r="P41" s="23"/>
    </x:row>
    <x:row r="42">
      <x:c r="H42" s="23"/>
      <x:c r="P42" s="23"/>
    </x:row>
    <x:row r="43">
      <x:c r="H43" s="23"/>
      <x:c r="P43" s="23"/>
    </x:row>
    <x:row r="44">
      <x:c r="H44" s="23"/>
      <x:c r="P44" s="23"/>
    </x:row>
    <x:row r="45">
      <x:c r="H45" s="23"/>
      <x:c r="P45" s="23"/>
    </x:row>
    <x:row r="46">
      <x:c r="H46" s="23"/>
      <x:c r="P46" s="23"/>
    </x:row>
    <x:row r="47">
      <x:c r="H47" s="23"/>
      <x:c r="P47" s="23"/>
    </x:row>
    <x:row r="48">
      <x:c r="H48" s="23"/>
      <x:c r="P48" s="23"/>
    </x:row>
    <x:row r="49">
      <x:c r="H49" s="23"/>
      <x:c r="P49" s="23"/>
    </x:row>
    <x:row r="50">
      <x:c r="H50" s="23"/>
      <x:c r="P50" s="23"/>
    </x:row>
    <x:row r="51">
      <x:c r="H51" s="23"/>
      <x:c r="P51" s="23"/>
    </x:row>
    <x:row r="52">
      <x:c r="H52" s="23"/>
      <x:c r="P52" s="23"/>
    </x:row>
    <x:row r="53">
      <x:c r="H53" s="23"/>
      <x:c r="P53" s="23"/>
    </x:row>
    <x:row r="54">
      <x:c r="H54" s="23"/>
      <x:c r="P54" s="23"/>
    </x:row>
    <x:row r="55">
      <x:c r="H55" s="23"/>
      <x:c r="P55" s="23"/>
    </x:row>
    <x:row r="56">
      <x:c r="H56" s="23"/>
      <x:c r="P56" s="23"/>
    </x:row>
    <x:row r="57">
      <x:c r="H57" s="23"/>
      <x:c r="P57" s="23"/>
    </x:row>
    <x:row r="58">
      <x:c r="H58" s="23"/>
      <x:c r="P58" s="23"/>
    </x:row>
    <x:row r="59">
      <x:c r="H59" s="23"/>
      <x:c r="P59" s="23"/>
    </x:row>
    <x:row r="60">
      <x:c r="H60" s="23"/>
      <x:c r="P60" s="23"/>
    </x:row>
    <x:row r="61">
      <x:c r="H61" s="23"/>
      <x:c r="P61" s="23"/>
    </x:row>
    <x:row r="62">
      <x:c r="H62" s="23"/>
      <x:c r="P62" s="23"/>
    </x:row>
    <x:row r="63">
      <x:c r="H63" s="23"/>
      <x:c r="P63" s="23"/>
    </x:row>
    <x:row r="64">
      <x:c r="H64" s="23"/>
      <x:c r="P64" s="23"/>
    </x:row>
    <x:row r="65">
      <x:c r="H65" s="23"/>
      <x:c r="P65" s="23"/>
    </x:row>
    <x:row r="66">
      <x:c r="H66" s="23"/>
      <x:c r="P66" s="23"/>
    </x:row>
    <x:row r="67">
      <x:c r="H67" s="23"/>
      <x:c r="P67" s="23"/>
    </x:row>
    <x:row r="68">
      <x:c r="H68" s="23"/>
      <x:c r="P68" s="23"/>
    </x:row>
    <x:row r="69">
      <x:c r="H69" s="23"/>
      <x:c r="P69" s="23"/>
    </x:row>
    <x:row r="70">
      <x:c r="H70" s="23"/>
      <x:c r="P70" s="23"/>
    </x:row>
    <x:row r="71">
      <x:c r="H71" s="23"/>
      <x:c r="P71" s="23"/>
    </x:row>
    <x:row r="72">
      <x:c r="H72" s="23"/>
      <x:c r="P72" s="23"/>
    </x:row>
    <x:row r="73">
      <x:c r="H73" s="23"/>
      <x:c r="P73" s="23"/>
    </x:row>
    <x:row r="74">
      <x:c r="H74" s="23"/>
      <x:c r="P74" s="23"/>
    </x:row>
    <x:row r="75">
      <x:c r="H75" s="23"/>
      <x:c r="P75" s="23"/>
    </x:row>
    <x:row r="76">
      <x:c r="H76" s="23"/>
      <x:c r="P76" s="23"/>
    </x:row>
    <x:row r="77">
      <x:c r="H77" s="23"/>
      <x:c r="P77" s="23"/>
    </x:row>
    <x:row r="78">
      <x:c r="H78" s="23"/>
      <x:c r="P78" s="23"/>
    </x:row>
    <x:row r="79">
      <x:c r="H79" s="23"/>
      <x:c r="P79" s="23"/>
    </x:row>
    <x:row r="80">
      <x:c r="H80" s="23"/>
      <x:c r="P80" s="23"/>
    </x:row>
    <x:row r="81">
      <x:c r="H81" s="23"/>
      <x:c r="P81" s="23"/>
    </x:row>
    <x:row r="82">
      <x:c r="H82" s="23"/>
      <x:c r="P82" s="23"/>
    </x:row>
    <x:row r="83">
      <x:c r="H83" s="23"/>
      <x:c r="P83" s="23"/>
    </x:row>
    <x:row r="84">
      <x:c r="H84" s="23"/>
      <x:c r="P84" s="23"/>
    </x:row>
    <x:row r="85">
      <x:c r="H85" s="23"/>
      <x:c r="P85" s="23"/>
    </x:row>
    <x:row r="86">
      <x:c r="H86" s="23"/>
      <x:c r="P86" s="23"/>
    </x:row>
    <x:row r="87">
      <x:c r="H87" s="23"/>
      <x:c r="P87" s="23"/>
    </x:row>
    <x:row r="88">
      <x:c r="H88" s="23"/>
      <x:c r="P88" s="23"/>
    </x:row>
    <x:row r="89">
      <x:c r="H89" s="23"/>
      <x:c r="P89" s="23"/>
    </x:row>
    <x:row r="90">
      <x:c r="H90" s="23"/>
      <x:c r="P90" s="23"/>
    </x:row>
    <x:row r="91">
      <x:c r="H91" s="23"/>
      <x:c r="P91" s="23"/>
    </x:row>
    <x:row r="92">
      <x:c r="H92" s="23"/>
      <x:c r="P92" s="23"/>
    </x:row>
    <x:row r="93">
      <x:c r="H93" s="23"/>
      <x:c r="P93" s="23"/>
    </x:row>
    <x:row r="94">
      <x:c r="H94" s="23"/>
      <x:c r="P94" s="23"/>
    </x:row>
    <x:row r="95">
      <x:c r="H95" s="23"/>
      <x:c r="P95" s="23"/>
    </x:row>
    <x:row r="96">
      <x:c r="H96" s="23"/>
      <x:c r="P96" s="23"/>
    </x:row>
    <x:row r="97">
      <x:c r="H97" s="23"/>
      <x:c r="P97" s="23"/>
    </x:row>
    <x:row r="98">
      <x:c r="H98" s="23"/>
      <x:c r="P98" s="23"/>
    </x:row>
    <x:row r="99">
      <x:c r="H99" s="23"/>
      <x:c r="P99" s="23"/>
    </x:row>
    <x:row r="100">
      <x:c r="H100" s="23"/>
      <x:c r="P100" s="23"/>
    </x:row>
  </x:sheetData>
  <x:dataValidations count="2">
    <x:dataValidation type="list" sqref="F2:F100">
      <x:formula1>'Dropdown Values'!$J$2:$J$4</x:formula1>
    </x:dataValidation>
    <x:dataValidation type="list" sqref="G2:G100">
      <x:formula1>'Dropdown Values'!$K$2:$K$8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a919ae5c5342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</x:cols>
  <x:sheetData>
    <x:row r="1" ht="28" customHeight="1">
      <x:c r="A1" s="10" t="str">
        <x:v>Metric Name</x:v>
      </x:c>
      <x:c r="B1" s="10" t="str">
        <x:v>Count / Value</x:v>
      </x:c>
      <x:c r="C1" s="10" t="str">
        <x:v>Notes</x:v>
      </x:c>
      <x:c r="D1" s="10" t="str">
        <x:v>Last Updated</x:v>
      </x:c>
    </x:row>
    <x:row r="2">
      <x:c r="A2" s="14" t="str">
        <x:v>Total Submissions</x:v>
      </x:c>
      <x:c r="B2" s="14" t="n">
        <x:f>COUNTA('Counseling Schedule Requests'!B2:B100)</x:f>
        <x:v>2</x:v>
      </x:c>
      <x:c r="C2" s="14" t="str">
        <x:v>All counselor request rows.</x:v>
      </x:c>
      <x:c r="D2" s="22" t="n">
        <x:v>46162</x:v>
      </x:c>
    </x:row>
    <x:row r="3">
      <x:c r="A3" s="14" t="str">
        <x:v>New Submissions</x:v>
      </x:c>
      <x:c r="B3" s="14" t="n">
        <x:f>COUNTIF('Counseling Schedule Requests'!V2:V100,"New Submission")</x:f>
        <x:v>1</x:v>
      </x:c>
      <x:c r="C3" s="14" t="str">
        <x:v>Rows waiting for Judith initial review.</x:v>
      </x:c>
      <x:c r="D3" s="22" t="n">
        <x:v>46162</x:v>
      </x:c>
    </x:row>
    <x:row r="4">
      <x:c r="A4" s="14" t="str">
        <x:v>Pending Judith</x:v>
      </x:c>
      <x:c r="B4" s="14" t="n">
        <x:f>COUNTIF('Counseling Schedule Requests'!U2:U100,"Judith")</x:f>
        <x:v>1</x:v>
      </x:c>
      <x:c r="C4" s="14" t="str">
        <x:v>Current owner is Judith.</x:v>
      </x:c>
      <x:c r="D4" s="22" t="n">
        <x:v>46162</x:v>
      </x:c>
    </x:row>
    <x:row r="5">
      <x:c r="A5" s="14" t="str">
        <x:v>Pending Joseph FOAP</x:v>
      </x:c>
      <x:c r="B5" s="14" t="n">
        <x:f>COUNTIF('Counseling Schedule Requests'!V2:V100,"FOAP Pending")</x:f>
        <x:v>1</x:v>
      </x:c>
      <x:c r="C5" s="14" t="str">
        <x:v>Rows pending Joseph FOAP approval.</x:v>
      </x:c>
      <x:c r="D5" s="22" t="n">
        <x:v>46162</x:v>
      </x:c>
    </x:row>
    <x:row r="6">
      <x:c r="A6" s="14" t="str">
        <x:v>Pending Counselor Review</x:v>
      </x:c>
      <x:c r="B6" s="14" t="n">
        <x:f>COUNTIF('Counseling Schedule Requests'!V2:V100,"Counselor Review")</x:f>
        <x:v>0</x:v>
      </x:c>
      <x:c r="C6" s="14" t="str">
        <x:v>Rows sent to counselor.</x:v>
      </x:c>
      <x:c r="D6" s="22" t="n">
        <x:v>46162</x:v>
      </x:c>
    </x:row>
    <x:row r="7">
      <x:c r="A7" s="14" t="str">
        <x:v>Revision Requested</x:v>
      </x:c>
      <x:c r="B7" s="14" t="n">
        <x:f>COUNTIF('Counseling Schedule Requests'!V2:V100,"Revision Requested")</x:f>
        <x:v>0</x:v>
      </x:c>
      <x:c r="C7" s="14" t="str">
        <x:v>Rows back with Judith for edits.</x:v>
      </x:c>
      <x:c r="D7" s="22" t="n">
        <x:v>46162</x:v>
      </x:c>
    </x:row>
    <x:row r="8">
      <x:c r="A8" s="14" t="str">
        <x:v>Pending Rubie Review</x:v>
      </x:c>
      <x:c r="B8" s="14" t="n">
        <x:f>COUNTIF('Counseling Schedule Requests'!V2:V100,"Rubie Review")</x:f>
        <x:v>0</x:v>
      </x:c>
      <x:c r="C8" s="14" t="str">
        <x:v>Rows pending DA review.</x:v>
      </x:c>
      <x:c r="D8" s="22" t="n">
        <x:v>46162</x:v>
      </x:c>
    </x:row>
    <x:row r="9">
      <x:c r="A9" s="14" t="str">
        <x:v>Pending Dean Signature</x:v>
      </x:c>
      <x:c r="B9" s="14" t="n">
        <x:f>COUNTIF('Counseling Schedule Requests'!V2:V100,"Dean Signature Pending")</x:f>
        <x:v>0</x:v>
      </x:c>
      <x:c r="C9" s="14" t="str">
        <x:v>Rows waiting for Ellen/dean signature.</x:v>
      </x:c>
      <x:c r="D9" s="22" t="n">
        <x:v>46162</x:v>
      </x:c>
    </x:row>
    <x:row r="10">
      <x:c r="A10" s="14" t="str">
        <x:v>Finalized</x:v>
      </x:c>
      <x:c r="B10" s="14" t="n">
        <x:f>COUNTIF('Counseling Schedule Requests'!V2:V100,"Finalized")</x:f>
        <x:v>0</x:v>
      </x:c>
      <x:c r="C10" s="14" t="str">
        <x:v>Final PDFs ready to archive or submit.</x:v>
      </x:c>
      <x:c r="D10" s="22" t="n">
        <x:v>46162</x:v>
      </x:c>
    </x:row>
    <x:row r="11">
      <x:c r="A11" s="14" t="str">
        <x:v>Sent to VPSS</x:v>
      </x:c>
      <x:c r="B11" s="14" t="n">
        <x:f>COUNTIF('Counseling Schedule Requests'!V2:V100,"Sent to VPSS")</x:f>
        <x:v>0</x:v>
      </x:c>
      <x:c r="C11" s="14" t="str">
        <x:v>Submitted to VPSS.</x:v>
      </x:c>
      <x:c r="D11" s="22" t="n">
        <x:v>46162</x:v>
      </x:c>
    </x:row>
    <x:row r="12">
      <x:c r="D12" s="23"/>
    </x:row>
    <x:row r="13">
      <x:c r="D13" s="23"/>
    </x:row>
    <x:row r="14">
      <x:c r="D14" s="23"/>
    </x:row>
    <x:row r="15">
      <x:c r="D15" s="23"/>
    </x:row>
    <x:row r="16">
      <x:c r="D16" s="23"/>
    </x:row>
    <x:row r="17">
      <x:c r="D17" s="23"/>
    </x:row>
    <x:row r="18">
      <x:c r="D18" s="23"/>
    </x:row>
    <x:row r="19">
      <x:c r="D19" s="23"/>
    </x:row>
    <x:row r="20">
      <x:c r="D20" s="23"/>
    </x:row>
    <x:row r="21">
      <x:c r="D21" s="23"/>
    </x:row>
    <x:row r="22">
      <x:c r="D22" s="23"/>
    </x:row>
    <x:row r="23">
      <x:c r="D23" s="23"/>
    </x:row>
    <x:row r="24">
      <x:c r="D24" s="23"/>
    </x:row>
    <x:row r="25">
      <x:c r="D25" s="23"/>
    </x:row>
    <x:row r="26">
      <x:c r="D26" s="23"/>
    </x:row>
    <x:row r="27">
      <x:c r="D27" s="23"/>
    </x:row>
    <x:row r="28">
      <x:c r="D28" s="23"/>
    </x:row>
    <x:row r="29">
      <x:c r="D29" s="23"/>
    </x:row>
    <x:row r="30">
      <x:c r="D30" s="23"/>
    </x:row>
    <x:row r="31">
      <x:c r="D31" s="23"/>
    </x:row>
    <x:row r="32">
      <x:c r="D32" s="23"/>
    </x:row>
    <x:row r="33">
      <x:c r="D33" s="23"/>
    </x:row>
    <x:row r="34">
      <x:c r="D34" s="23"/>
    </x:row>
    <x:row r="35">
      <x:c r="D35" s="23"/>
    </x:row>
    <x:row r="36">
      <x:c r="D36" s="23"/>
    </x:row>
    <x:row r="37">
      <x:c r="D37" s="23"/>
    </x:row>
    <x:row r="38">
      <x:c r="D38" s="23"/>
    </x:row>
    <x:row r="39">
      <x:c r="D39" s="23"/>
    </x:row>
    <x:row r="40">
      <x:c r="D40" s="23"/>
    </x:row>
    <x:row r="41">
      <x:c r="D41" s="23"/>
    </x:row>
    <x:row r="42">
      <x:c r="D42" s="23"/>
    </x:row>
    <x:row r="43">
      <x:c r="D43" s="23"/>
    </x:row>
    <x:row r="44">
      <x:c r="D44" s="23"/>
    </x:row>
    <x:row r="45">
      <x:c r="D45" s="23"/>
    </x:row>
    <x:row r="46">
      <x:c r="D46" s="23"/>
    </x:row>
    <x:row r="47">
      <x:c r="D47" s="23"/>
    </x:row>
    <x:row r="48">
      <x:c r="D48" s="23"/>
    </x:row>
    <x:row r="49">
      <x:c r="D49" s="23"/>
    </x:row>
    <x:row r="50">
      <x:c r="D50" s="23"/>
    </x:row>
    <x:row r="51">
      <x:c r="D51" s="23"/>
    </x:row>
    <x:row r="52">
      <x:c r="D52" s="23"/>
    </x:row>
    <x:row r="53">
      <x:c r="D53" s="23"/>
    </x:row>
    <x:row r="54">
      <x:c r="D54" s="23"/>
    </x:row>
    <x:row r="55">
      <x:c r="D55" s="23"/>
    </x:row>
    <x:row r="56">
      <x:c r="D56" s="23"/>
    </x:row>
    <x:row r="57">
      <x:c r="D57" s="23"/>
    </x:row>
    <x:row r="58">
      <x:c r="D58" s="23"/>
    </x:row>
    <x:row r="59">
      <x:c r="D59" s="23"/>
    </x:row>
    <x:row r="60">
      <x:c r="D60" s="23"/>
    </x:row>
    <x:row r="61">
      <x:c r="D61" s="23"/>
    </x:row>
    <x:row r="62">
      <x:c r="D62" s="23"/>
    </x:row>
    <x:row r="63">
      <x:c r="D63" s="23"/>
    </x:row>
    <x:row r="64">
      <x:c r="D64" s="23"/>
    </x:row>
    <x:row r="65">
      <x:c r="D65" s="23"/>
    </x:row>
    <x:row r="66">
      <x:c r="D66" s="23"/>
    </x:row>
    <x:row r="67">
      <x:c r="D67" s="23"/>
    </x:row>
    <x:row r="68">
      <x:c r="D68" s="23"/>
    </x:row>
    <x:row r="69">
      <x:c r="D69" s="23"/>
    </x:row>
    <x:row r="70">
      <x:c r="D70" s="23"/>
    </x:row>
    <x:row r="71">
      <x:c r="D71" s="23"/>
    </x:row>
    <x:row r="72">
      <x:c r="D72" s="23"/>
    </x:row>
    <x:row r="73">
      <x:c r="D73" s="23"/>
    </x:row>
    <x:row r="74">
      <x:c r="D74" s="23"/>
    </x:row>
    <x:row r="75">
      <x:c r="D75" s="23"/>
    </x:row>
    <x:row r="76">
      <x:c r="D76" s="23"/>
    </x:row>
    <x:row r="77">
      <x:c r="D77" s="23"/>
    </x:row>
    <x:row r="78">
      <x:c r="D78" s="23"/>
    </x:row>
    <x:row r="79">
      <x:c r="D79" s="23"/>
    </x:row>
    <x:row r="80">
      <x:c r="D80" s="23"/>
    </x:row>
    <x:row r="81">
      <x:c r="D81" s="23"/>
    </x:row>
    <x:row r="82">
      <x:c r="D82" s="23"/>
    </x:row>
    <x:row r="83">
      <x:c r="D83" s="23"/>
    </x:row>
    <x:row r="84">
      <x:c r="D84" s="23"/>
    </x:row>
    <x:row r="85">
      <x:c r="D85" s="23"/>
    </x:row>
    <x:row r="86">
      <x:c r="D86" s="23"/>
    </x:row>
    <x:row r="87">
      <x:c r="D87" s="23"/>
    </x:row>
    <x:row r="88">
      <x:c r="D88" s="23"/>
    </x:row>
    <x:row r="89">
      <x:c r="D89" s="23"/>
    </x:row>
    <x:row r="90">
      <x:c r="D90" s="23"/>
    </x:row>
    <x:row r="91">
      <x:c r="D91" s="23"/>
    </x:row>
    <x:row r="92">
      <x:c r="D92" s="23"/>
    </x:row>
    <x:row r="93">
      <x:c r="D93" s="23"/>
    </x:row>
    <x:row r="94">
      <x:c r="D94" s="23"/>
    </x:row>
    <x:row r="95">
      <x:c r="D95" s="23"/>
    </x:row>
    <x:row r="96">
      <x:c r="D96" s="23"/>
    </x:row>
    <x:row r="97">
      <x:c r="D97" s="23"/>
    </x:row>
    <x:row r="98">
      <x:c r="D98" s="23"/>
    </x:row>
    <x:row r="99">
      <x:c r="D99" s="23"/>
    </x:row>
    <x:row r="100">
      <x:c r="D100" s="23"/>
    </x:row>
  </x:sheetData>
  <x:pageMargins left="0.7" right="0.7" top="0.75" bottom="0.75" header="0.3" footer="0.3"/>
  <x:tableParts count="1">
    <x:tablePart xmlns:r="http://schemas.openxmlformats.org/officeDocument/2006/relationships" r:id="Rdec03ee9981647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10" t="str">
        <x:v>Report Name</x:v>
      </x:c>
      <x:c r="B1" s="10" t="str">
        <x:v>Purpose</x:v>
      </x:c>
      <x:c r="C1" s="10" t="str">
        <x:v>Filter Logic</x:v>
      </x:c>
      <x:c r="D1" s="10" t="str">
        <x:v>Recommended Columns</x:v>
      </x:c>
    </x:row>
    <x:row r="2">
      <x:c r="A2" s="14" t="str">
        <x:v>Judith Work Queue</x:v>
      </x:c>
      <x:c r="B2" s="14" t="str">
        <x:v>Rows Judith needs to draft/revise/review</x:v>
      </x:c>
      <x:c r="C2" s="14" t="str">
        <x:v>Current Owner = Judith AND Final Status is not Finalized/Canceled</x:v>
      </x:c>
      <x:c r="D2" s="14" t="str">
        <x:v>Counselor Name, Term, Current Step, Next Action, Due Date, Revision Number, Internal Notes</x:v>
      </x:c>
    </x:row>
    <x:row r="3">
      <x:c r="A3" s="14" t="str">
        <x:v>Joseph FOAP Queue</x:v>
      </x:c>
      <x:c r="B3" s="14" t="str">
        <x:v>FOAP/account approval work</x:v>
      </x:c>
      <x:c r="C3" s="14" t="str">
        <x:v>Current Step = FOAP Pending</x:v>
      </x:c>
      <x:c r="D3" s="14" t="str">
        <x:v>Counselor Name, Term, Account / FOAP, Total Proposed Hours, FTE, Due Date</x:v>
      </x:c>
    </x:row>
    <x:row r="4">
      <x:c r="A4" s="14" t="str">
        <x:v>Counselor Revision Requests</x:v>
      </x:c>
      <x:c r="B4" s="14" t="str">
        <x:v>Track requested schedule changes</x:v>
      </x:c>
      <x:c r="C4" s="14" t="str">
        <x:v>Current Step = Revision Requested</x:v>
      </x:c>
      <x:c r="D4" s="14" t="str">
        <x:v>Counselor Name, Term, Revision Number, Counselor Revision Notes, Current Owner, Next Action</x:v>
      </x:c>
    </x:row>
    <x:row r="5">
      <x:c r="A5" s="14" t="str">
        <x:v>Rubie Final Review Queue</x:v>
      </x:c>
      <x:c r="B5" s="14" t="str">
        <x:v>Rows ready for DA review/archive</x:v>
      </x:c>
      <x:c r="C5" s="14" t="str">
        <x:v>Current Owner = Rubie</x:v>
      </x:c>
      <x:c r="D5" s="14" t="str">
        <x:v>Counselor Name, Term, Document Status, Signed PDF Link, SharePoint Final Link, Next Action</x:v>
      </x:c>
    </x:row>
    <x:row r="6">
      <x:c r="A6" s="14" t="str">
        <x:v>Dean Signature Pending</x:v>
      </x:c>
      <x:c r="B6" s="14" t="str">
        <x:v>Rows needing dean signature</x:v>
      </x:c>
      <x:c r="C6" s="14" t="str">
        <x:v>Current Step = Dean Signature Pending</x:v>
      </x:c>
      <x:c r="D6" s="14" t="str">
        <x:v>Counselor Name, Term, Document Type, Adobe Sign Agreement Link, Due Date</x:v>
      </x:c>
    </x:row>
    <x:row r="7">
      <x:c r="A7" s="14" t="str">
        <x:v>Finalized / Sent to VPSS</x:v>
      </x:c>
      <x:c r="B7" s="14" t="str">
        <x:v>Completed/archived rows</x:v>
      </x:c>
      <x:c r="C7" s="14" t="str">
        <x:v>Current Step = Finalized OR Sent to VPSS</x:v>
      </x:c>
      <x:c r="D7" s="14" t="str">
        <x:v>Counselor Name, Term, Final Signed PDF Link, SharePoint Folder Link, VPSS Submission Date</x:v>
      </x:c>
    </x:row>
  </x:sheetData>
  <x:pageMargins left="0.7" right="0.7" top="0.75" bottom="0.75" header="0.3" footer="0.3"/>
  <x:tableParts count="1">
    <x:tablePart xmlns:r="http://schemas.openxmlformats.org/officeDocument/2006/relationships" r:id="R3a3783d7e99d475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30" customHeight="1">
      <x:c r="A1" s="32" t="str">
        <x:v>Counseling Schedule Automation Smartsheet Import</x:v>
      </x:c>
    </x:row>
    <x:row r="2">
      <x:c r="A2" s="12" t="str"/>
    </x:row>
    <x:row r="3">
      <x:c r="A3" s="33" t="str">
        <x:v>How to use</x:v>
      </x:c>
    </x:row>
    <x:row r="4">
      <x:c r="A4" s="12" t="str">
        <x:v>1. Import this Excel workbook into Smartsheet.</x:v>
      </x:c>
    </x:row>
    <x:row r="5">
      <x:c r="A5" s="12" t="str">
        <x:v>2. Use 'Counseling Schedule Requests' as the main intake/tracker sheet. Each row is one counselor for one term.</x:v>
      </x:c>
    </x:row>
    <x:row r="6">
      <x:c r="A6" s="12" t="str">
        <x:v>3. Connect Formstack to add new rows into the main tracker.</x:v>
      </x:c>
    </x:row>
    <x:row r="7">
      <x:c r="A7" s="12" t="str">
        <x:v>4. Use 'Counselor Schedule Details' for individual schedule blocks that feed the assignment letter.</x:v>
      </x:c>
    </x:row>
    <x:row r="8">
      <x:c r="A8" s="12" t="str">
        <x:v>5. Use 'Approval and Revision Tracker' to audit Joseph/Judith/Counselor/Rubie/Ellen approvals and revision loops.</x:v>
      </x:c>
    </x:row>
    <x:row r="9">
      <x:c r="A9" s="12" t="str">
        <x:v>6. Use 'Document Generation Archive' to track generated PDFs, Adobe Sign links, signed PDFs, and SharePoint archive links.</x:v>
      </x:c>
    </x:row>
    <x:row r="10">
      <x:c r="A10" s="12" t="str">
        <x:v>7. Use 'Dashboard Metrics' and 'Reports to Create' to build Smartsheet reports/dashboard widgets.</x:v>
      </x:c>
    </x:row>
    <x:row r="11">
      <x:c r="A11" s="12" t="str"/>
    </x:row>
    <x:row r="12">
      <x:c r="A12" s="12" t="str">
        <x:v>Document fields were based on the uploaded Assignment Letter/Schedule and Payroll setup templates. Keep the final generated PDF layout aligned to VPSS expectations.</x:v>
      </x:c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